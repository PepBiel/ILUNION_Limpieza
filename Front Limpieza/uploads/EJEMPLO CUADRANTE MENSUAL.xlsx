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sistemasilunion-my.sharepoint.com/personal/mlema_ilunion_com/Documents/Escritorio/Nueva carpeta/CUADRANTES 2026/ANUAL GIL CASARES-26/"/>
    </mc:Choice>
  </mc:AlternateContent>
  <xr:revisionPtr revIDLastSave="1552" documentId="11_B6F45461BF7FA89A17CE17732738E74CBAF7F577" xr6:coauthVersionLast="47" xr6:coauthVersionMax="47" xr10:uidLastSave="{23FD6597-ED0A-464E-8F7F-6359B291D6E4}"/>
  <bookViews>
    <workbookView xWindow="-120" yWindow="-120" windowWidth="29040" windowHeight="15840" tabRatio="500" activeTab="2" xr2:uid="{00000000-000D-0000-FFFF-FFFF00000000}"/>
  </bookViews>
  <sheets>
    <sheet name="ABRIL" sheetId="1" r:id="rId1"/>
    <sheet name="CONTRATACION" sheetId="7" r:id="rId2"/>
    <sheet name="Hoja1" sheetId="8" r:id="rId3"/>
  </sheets>
  <definedNames>
    <definedName name="_xlnm._FilterDatabase" localSheetId="0" hidden="1">ABRIL!$B$1:$AF$1</definedName>
    <definedName name="_FilterDatabase_0" localSheetId="0">ABRIL!$A:$AQ</definedName>
    <definedName name="_FilterDatabase_0_0" localSheetId="0">ABRIL!$A$1:$AQ$29</definedName>
    <definedName name="_FilterDatabase_0_0_0" localSheetId="0">ABRIL!$A$1:$AE$29</definedName>
    <definedName name="_FilterDatabase_0_0_0_0" localSheetId="0">ABRIL!$A$1:$AG$29</definedName>
    <definedName name="_FilterDatabase_0_0_0_0_0" localSheetId="0">ABRIL!$A$1:$AE$29</definedName>
    <definedName name="_FilterDatabase_0_0_0_0_0_0" localSheetId="0">ABRIL!$A$1:$AG$29</definedName>
    <definedName name="_FilterDatabase_0_0_0_0_0_0_0" localSheetId="0">ABRIL!$A$1:$AE$29</definedName>
    <definedName name="_FilterDatabase_0_0_0_0_0_0_0_0" localSheetId="0">ABRIL!$A$1:$AG$29</definedName>
    <definedName name="_FilterDatabase_0_0_0_0_0_0_0_0_0" localSheetId="0">ABRIL!$A$1:$AE$29</definedName>
    <definedName name="_FilterDatabase_0_0_0_0_0_0_0_0_0_0" localSheetId="0">ABRIL!$A$1:$AG$29</definedName>
    <definedName name="_FilterDatabase_0_0_0_0_0_0_0_0_0_0_0" localSheetId="0">ABRIL!$A$1:$AE$29</definedName>
    <definedName name="_FilterDatabase_0_0_0_0_0_0_0_0_0_0_0_0" localSheetId="0">ABRIL!$A$1:$AG$29</definedName>
    <definedName name="_FilterDatabase_0_0_0_0_0_0_0_0_0_0_0_0_0" localSheetId="0">ABRIL!$A$1:$AE$29</definedName>
    <definedName name="_FilterDatabase_0_0_0_0_0_0_0_0_0_0_0_0_0_0" localSheetId="0">ABRIL!$A$1:$AG$29</definedName>
    <definedName name="_FilterDatabase_0_0_0_0_0_0_0_0_0_0_0_0_0_0_0" localSheetId="0">ABRIL!$A$1:$AE$29</definedName>
    <definedName name="_FilterDatabase_0_0_0_0_0_0_0_0_0_0_0_0_0_0_0_0" localSheetId="0">ABRIL!$A$1:$AG$29</definedName>
    <definedName name="_FilterDatabase_0_0_0_0_0_0_0_0_0_0_0_0_0_0_0_0_0" localSheetId="0">ABRIL!$A$1:$AE$29</definedName>
    <definedName name="_FilterDatabase_0_0_0_0_0_0_0_0_0_0_0_0_0_0_0_0_0_0" localSheetId="0">ABRIL!$A$1:$AG$29</definedName>
    <definedName name="_FilterDatabase_0_0_0_0_0_0_0_0_0_0_0_0_0_0_0_0_0_0_0" localSheetId="0">ABRIL!$A$1:$AE$29</definedName>
    <definedName name="_FilterDatabase_0_0_0_0_0_0_0_0_0_0_0_0_0_0_0_0_0_0_0_0" localSheetId="0">ABRIL!$A$1:$AG$29</definedName>
    <definedName name="_FilterDatabase_0_0_0_0_0_0_0_0_0_0_0_0_0_0_0_0_0_0_0_0_0" localSheetId="0">ABRIL!$A$1:$AE$29</definedName>
    <definedName name="_FilterDatabase_0_0_0_0_0_0_0_0_0_0_0_0_0_0_0_0_0_0_0_0_0_0" localSheetId="0">ABRIL!$A$1:$AG$29</definedName>
    <definedName name="_FilterDatabase_0_0_0_0_0_0_0_0_0_0_0_0_0_0_0_0_0_0_0_0_0_0_0" localSheetId="0">ABRIL!$A$1:$AE$29</definedName>
    <definedName name="_FilterDatabase_0_0_0_0_0_0_0_0_0_0_0_0_0_0_0_0_0_0_0_0_0_0_0_0" localSheetId="0">ABRIL!$A$1:$AG$29</definedName>
    <definedName name="_FilterDatabase_0_0_0_0_0_0_0_0_0_0_0_0_0_0_0_0_0_0_0_0_0_0_0_0_0" localSheetId="0">ABRIL!$A$1:$AE$29</definedName>
    <definedName name="_FilterDatabase_0_0_0_0_0_0_0_0_0_0_0_0_0_0_0_0_0_0_0_0_0_0_0_0_0_0" localSheetId="0">ABRIL!$A$1:$AG$29</definedName>
    <definedName name="_FilterDatabase_0_0_0_0_0_0_0_0_0_0_0_0_0_0_0_0_0_0_0_0_0_0_0_0_0_0_0" localSheetId="0">ABRIL!$A$1:$AE$29</definedName>
    <definedName name="_FilterDatabase_0_0_0_0_0_0_0_0_0_0_0_0_0_0_0_0_0_0_0_0_0_0_0_0_0_0_0_0" localSheetId="0">ABRIL!$A$1:$AG$29</definedName>
    <definedName name="_FilterDatabase_0_0_0_0_0_0_0_0_0_0_0_0_0_0_0_0_0_0_0_0_0_0_0_0_0_0_0_0_0" localSheetId="0">ABRIL!$A$1:$AE$29</definedName>
    <definedName name="_FilterDatabase_0_0_0_0_0_0_0_0_0_0_0_0_0_0_0_0_0_0_0_0_0_0_0_0_0_0_0_0_0_0" localSheetId="0">ABRIL!$A$1:$AG$29</definedName>
    <definedName name="_FilterDatabase_0_0_0_0_0_0_0_0_0_0_0_0_0_0_0_0_0_0_0_0_0_0_0_0_0_0_0_0_0_0_0" localSheetId="0">ABRIL!$A$1:$AE$29</definedName>
    <definedName name="_FilterDatabase_0_0_0_0_0_0_0_0_0_0_0_0_0_0_0_0_0_0_0_0_0_0_0_0_0_0_0_0_0_0_0_0" localSheetId="0">ABRIL!$A$1:$AG$29</definedName>
    <definedName name="_FilterDatabase_0_0_0_0_0_0_0_0_0_0_0_0_0_0_0_0_0_0_0_0_0_0_0_0_0_0_0_0_0_0_0_0_0" localSheetId="0">ABRIL!$A$1:$AE$29</definedName>
    <definedName name="_FilterDatabase_0_0_0_0_0_0_0_0_0_0_0_0_0_0_0_0_0_0_0_0_0_0_0_0_0_0_0_0_0_0_0_0_0_0" localSheetId="0">ABRIL!$A$1:$AG$29</definedName>
    <definedName name="_FilterDatabase_0_0_0_0_0_0_0_0_0_0_0_0_0_0_0_0_0_0_0_0_0_0_0_0_0_0_0_0_0_0_0_0_0_0_0" localSheetId="0">ABRIL!$A$1:$AE$29</definedName>
    <definedName name="_FilterDatabase_0_0_0_0_0_0_0_0_0_0_0_0_0_0_0_0_0_0_0_0_0_0_0_0_0_0_0_0_0_0_0_0_0_0_0_0" localSheetId="0">ABRIL!$A$1:$AG$29</definedName>
    <definedName name="_FilterDatabase_0_0_0_0_0_0_0_0_0_0_0_0_0_0_0_0_0_0_0_0_0_0_0_0_0_0_0_0_0_0_0_0_0_0_0_0_0" localSheetId="0">ABRIL!$A$1:$AE$29</definedName>
    <definedName name="_FilterDatabase_0_0_0_0_0_0_0_0_0_0_0_0_0_0_0_0_0_0_0_0_0_0_0_0_0_0_0_0_0_0_0_0_0_0_0_0_0_0" localSheetId="0">ABRIL!$A$1:$AG$29</definedName>
    <definedName name="_FilterDatabase_0_0_0_0_0_0_0_0_0_0_0_0_0_0_0_0_0_0_0_0_0_0_0_0_0_0_0_0_0_0_0_0_0_0_0_0_0_0_0" localSheetId="0">ABRIL!$A$1:$AE$29</definedName>
    <definedName name="_FilterDatabase_0_0_0_0_0_0_0_0_0_0_0_0_0_0_0_0_0_0_0_0_0_0_0_0_0_0_0_0_0_0_0_0_0_0_0_0_0_0_0_0" localSheetId="0">ABRIL!$A$1:$AG$29</definedName>
    <definedName name="_FilterDatabase_0_0_0_0_0_0_0_0_0_0_0_0_0_0_0_0_0_0_0_0_0_0_0_0_0_0_0_0_0_0_0_0_0_0_0_0_0_0_0_0_0" localSheetId="0">ABRIL!$A$1:$AE$29</definedName>
    <definedName name="_FilterDatabase_0_0_0_0_0_0_0_0_0_0_0_0_0_0_0_0_0_0_0_0_0_0_0_0_0_0_0_0_0_0_0_0_0_0_0_0_0_0_0_0_0_0" localSheetId="0">ABRIL!$A$1:$AG$29</definedName>
    <definedName name="_FilterDatabase_0_0_0_0_0_0_0_0_0_0_0_0_0_0_0_0_0_0_0_0_0_0_0_0_0_0_0_0_0_0_0_0_0_0_0_0_0_0_0_0_0_0_0" localSheetId="0">ABRIL!$A$1:$AE$29</definedName>
    <definedName name="_FilterDatabase_0_0_0_0_0_0_0_0_0_0_0_0_0_0_0_0_0_0_0_0_0_0_0_0_0_0_0_0_0_0_0_0_0_0_0_0_0_0_0_0_0_0_0_0" localSheetId="0">ABRIL!$A$1:$AG$29</definedName>
    <definedName name="_FilterDatabase_0_0_0_0_0_0_0_0_0_0_0_0_0_0_0_0_0_0_0_0_0_0_0_0_0_0_0_0_0_0_0_0_0_0_0_0_0_0_0_0_0_0_0_0_0" localSheetId="0">ABRIL!$A$1:$AE$29</definedName>
    <definedName name="_FilterDatabase_0_0_0_0_0_0_0_0_0_0_0_0_0_0_0_0_0_0_0_0_0_0_0_0_0_0_0_0_0_0_0_0_0_0_0_0_0_0_0_0_0_0_0_0_0_0" localSheetId="0">ABRIL!$A$1:$AG$29</definedName>
    <definedName name="_FilterDatabase_0_0_0_0_0_0_0_0_0_0_0_0_0_0_0_0_0_0_0_0_0_0_0_0_0_0_0_0_0_0_0_0_0_0_0_0_0_0_0_0_0_0_0_0_0_0_0" localSheetId="0">ABRIL!$A$1:$AE$29</definedName>
    <definedName name="_FilterDatabase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_0_0_0_0_0_0_0_0_0_0_0_0_0_0" localSheetId="0">ABRIL!$A$1:$AE$29</definedName>
    <definedName name="_FilterDatabase_0_0_0_0_0_0_0_0_0_0_0_0_0_0_0_0_0_0_0_0_0_0_0_0_0_0_0_0_0_0_0_0_0_0_0_0_0_0_0_0_0_0_0_0_0_0_0_0_0_0_0_0_0_0_0_0_0_0_0_0_0_0_0_0_0_0_0_0_0_0_0_0_0_0_0_0_0_0_0_0_0_0_0_0_0_0_0_0_0_0_0_0_0_0_0_0_0_0_0_0_0_0_0_0_0_0_0_0_0_0_0_0_0_0_0_0" localSheetId="0">ABRIL!$A$1:$AG$29</definedName>
    <definedName name="_FilterDatabase_0_0_0_0_0_0_0_0_0_0_0_0_0_0_0_0_0_0_0_0_0_0_0_0_0_0_0_0_0_0_0_0_0_0_0_0_0_0_0_0_0_0_0_0_0_0_0_0_0_0_0_0_0_0_0_0_0_0_0_0_0_0_0_0_0_0_0_0_0_0_0_0_0_0_0_0_0_0_0_0_0_0_0_0_0_0_0_0_0_0_0_0_0_0_0_0_0_0_0_0_0_0_0_0_0_0_0_0_0_0_0_0_0_0_0_0_0" localSheetId="0">ABRIL!$A$1:$AE$29</definedName>
    <definedName name="_xlnm.Print_Area" localSheetId="0">ABRIL!$A$3:$AF$29</definedName>
    <definedName name="Print_Area_0" localSheetId="0">ABRIL!$A$3:$AF$29</definedName>
    <definedName name="Print_Area_0_0" localSheetId="0">ABRIL!$A$3:$AF$29</definedName>
    <definedName name="Print_Area_0_0_0" localSheetId="0">ABRIL!$A$3:$AF$29</definedName>
    <definedName name="Print_Area_0_0_0_0" localSheetId="0">ABRIL!$A$3:$AF$29</definedName>
    <definedName name="Print_Area_0_0_0_0_0" localSheetId="0">ABRIL!$A$3:$AF$29</definedName>
    <definedName name="Print_Area_0_0_0_0_0_0" localSheetId="0">ABRIL!$A$3:$AF$29</definedName>
    <definedName name="Print_Area_0_0_0_0_0_0_0" localSheetId="0">ABRIL!$A$3:$AF$29</definedName>
    <definedName name="Print_Area_0_0_0_0_0_0_0_0" localSheetId="0">ABRIL!$A$3:$AF$29</definedName>
    <definedName name="Print_Area_0_0_0_0_0_0_0_0_0" localSheetId="0">ABRIL!$A$3:$AF$29</definedName>
    <definedName name="Print_Area_0_0_0_0_0_0_0_0_0_0" localSheetId="0">ABRIL!$A$3:$AF$29</definedName>
    <definedName name="Print_Area_0_0_0_0_0_0_0_0_0_0_0" localSheetId="0">ABRIL!$A$3:$AF$29</definedName>
    <definedName name="Print_Area_0_0_0_0_0_0_0_0_0_0_0_0" localSheetId="0">ABRIL!$A$3:$AF$29</definedName>
    <definedName name="Print_Area_0_0_0_0_0_0_0_0_0_0_0_0_0" localSheetId="0">ABRIL!$A$3:$AF$29</definedName>
    <definedName name="Print_Area_0_0_0_0_0_0_0_0_0_0_0_0_0_0" localSheetId="0">ABRIL!$A$3:$AF$29</definedName>
    <definedName name="Print_Area_0_0_0_0_0_0_0_0_0_0_0_0_0_0_0" localSheetId="0">ABRIL!$A$3:$AF$29</definedName>
    <definedName name="Print_Area_0_0_0_0_0_0_0_0_0_0_0_0_0_0_0_0" localSheetId="0">ABRIL!$A$3:$AF$29</definedName>
    <definedName name="Print_Area_0_0_0_0_0_0_0_0_0_0_0_0_0_0_0_0_0" localSheetId="0">ABRIL!$A$3:$AF$29</definedName>
    <definedName name="Print_Area_0_0_0_0_0_0_0_0_0_0_0_0_0_0_0_0_0_0" localSheetId="0">ABRIL!$A$3:$AF$29</definedName>
    <definedName name="Print_Area_0_0_0_0_0_0_0_0_0_0_0_0_0_0_0_0_0_0_0" localSheetId="0">ABRIL!$A$3:$AF$29</definedName>
    <definedName name="Print_Area_0_0_0_0_0_0_0_0_0_0_0_0_0_0_0_0_0_0_0_0" localSheetId="0">ABRIL!$A$3:$AF$29</definedName>
    <definedName name="Print_Area_0_0_0_0_0_0_0_0_0_0_0_0_0_0_0_0_0_0_0_0_0" localSheetId="0">ABRIL!$A$3:$AF$29</definedName>
    <definedName name="Print_Area_0_0_0_0_0_0_0_0_0_0_0_0_0_0_0_0_0_0_0_0_0_0" localSheetId="0">ABRIL!$A$3:$AF$29</definedName>
    <definedName name="Print_Area_0_0_0_0_0_0_0_0_0_0_0_0_0_0_0_0_0_0_0_0_0_0_0" localSheetId="0">ABRIL!$A$3:$AF$29</definedName>
    <definedName name="Print_Area_0_0_0_0_0_0_0_0_0_0_0_0_0_0_0_0_0_0_0_0_0_0_0_0" localSheetId="0">ABRIL!$A$3:$AF$29</definedName>
    <definedName name="Print_Area_0_0_0_0_0_0_0_0_0_0_0_0_0_0_0_0_0_0_0_0_0_0_0_0_0" localSheetId="0">ABRIL!$A$3:$AF$29</definedName>
    <definedName name="Print_Area_0_0_0_0_0_0_0_0_0_0_0_0_0_0_0_0_0_0_0_0_0_0_0_0_0_0" localSheetId="0">ABRIL!$A$3:$AF$29</definedName>
    <definedName name="Print_Area_0_0_0_0_0_0_0_0_0_0_0_0_0_0_0_0_0_0_0_0_0_0_0_0_0_0_0" localSheetId="0">ABRIL!$A$3:$AF$29</definedName>
    <definedName name="Print_Area_0_0_0_0_0_0_0_0_0_0_0_0_0_0_0_0_0_0_0_0_0_0_0_0_0_0_0_0" localSheetId="0">ABRIL!$A$3:$AF$29</definedName>
    <definedName name="Print_Area_0_0_0_0_0_0_0_0_0_0_0_0_0_0_0_0_0_0_0_0_0_0_0_0_0_0_0_0_0" localSheetId="0">ABRIL!$A$3:$AF$29</definedName>
    <definedName name="Print_Area_0_0_0_0_0_0_0_0_0_0_0_0_0_0_0_0_0_0_0_0_0_0_0_0_0_0_0_0_0_0" localSheetId="0">ABRIL!$A$3:$AF$29</definedName>
    <definedName name="Print_Area_0_0_0_0_0_0_0_0_0_0_0_0_0_0_0_0_0_0_0_0_0_0_0_0_0_0_0_0_0_0_0" localSheetId="0">ABRIL!$A$3:$AF$29</definedName>
    <definedName name="Print_Area_0_0_0_0_0_0_0_0_0_0_0_0_0_0_0_0_0_0_0_0_0_0_0_0_0_0_0_0_0_0_0_0" localSheetId="0">ABRIL!$A$3:$AF$29</definedName>
    <definedName name="Print_Area_0_0_0_0_0_0_0_0_0_0_0_0_0_0_0_0_0_0_0_0_0_0_0_0_0_0_0_0_0_0_0_0_0" localSheetId="0">ABRIL!$A$3:$AF$29</definedName>
    <definedName name="Print_Area_0_0_0_0_0_0_0_0_0_0_0_0_0_0_0_0_0_0_0_0_0_0_0_0_0_0_0_0_0_0_0_0_0_0" localSheetId="0">ABRIL!$A$3:$AF$29</definedName>
    <definedName name="Print_Area_0_0_0_0_0_0_0_0_0_0_0_0_0_0_0_0_0_0_0_0_0_0_0_0_0_0_0_0_0_0_0_0_0_0_0" localSheetId="0">ABRIL!$A$3:$AF$29</definedName>
    <definedName name="Print_Area_0_0_0_0_0_0_0_0_0_0_0_0_0_0_0_0_0_0_0_0_0_0_0_0_0_0_0_0_0_0_0_0_0_0_0_0" localSheetId="0">ABRIL!$A$3:$AF$29</definedName>
    <definedName name="Print_Area_0_0_0_0_0_0_0_0_0_0_0_0_0_0_0_0_0_0_0_0_0_0_0_0_0_0_0_0_0_0_0_0_0_0_0_0_0" localSheetId="0">ABRIL!$A$3:$AF$29</definedName>
    <definedName name="Print_Area_0_0_0_0_0_0_0_0_0_0_0_0_0_0_0_0_0_0_0_0_0_0_0_0_0_0_0_0_0_0_0_0_0_0_0_0_0_0" localSheetId="0">ABRIL!$A$3:$AF$29</definedName>
    <definedName name="Print_Area_0_0_0_0_0_0_0_0_0_0_0_0_0_0_0_0_0_0_0_0_0_0_0_0_0_0_0_0_0_0_0_0_0_0_0_0_0_0_0" localSheetId="0">ABRIL!$A$3:$AF$29</definedName>
    <definedName name="Print_Area_0_0_0_0_0_0_0_0_0_0_0_0_0_0_0_0_0_0_0_0_0_0_0_0_0_0_0_0_0_0_0_0_0_0_0_0_0_0_0_0" localSheetId="0">ABRIL!$A$3:$AF$29</definedName>
    <definedName name="Print_Area_0_0_0_0_0_0_0_0_0_0_0_0_0_0_0_0_0_0_0_0_0_0_0_0_0_0_0_0_0_0_0_0_0_0_0_0_0_0_0_0_0" localSheetId="0">ABRIL!$A$3:$AF$29</definedName>
    <definedName name="Print_Area_0_0_0_0_0_0_0_0_0_0_0_0_0_0_0_0_0_0_0_0_0_0_0_0_0_0_0_0_0_0_0_0_0_0_0_0_0_0_0_0_0_0" localSheetId="0">ABRIL!$A$3:$AF$29</definedName>
    <definedName name="Print_Area_0_0_0_0_0_0_0_0_0_0_0_0_0_0_0_0_0_0_0_0_0_0_0_0_0_0_0_0_0_0_0_0_0_0_0_0_0_0_0_0_0_0_0" localSheetId="0">ABRIL!$A$3:$AF$29</definedName>
    <definedName name="Print_Area_0_0_0_0_0_0_0_0_0_0_0_0_0_0_0_0_0_0_0_0_0_0_0_0_0_0_0_0_0_0_0_0_0_0_0_0_0_0_0_0_0_0_0_0" localSheetId="0">ABRIL!$A$3:$AF$29</definedName>
    <definedName name="Print_Area_0_0_0_0_0_0_0_0_0_0_0_0_0_0_0_0_0_0_0_0_0_0_0_0_0_0_0_0_0_0_0_0_0_0_0_0_0_0_0_0_0_0_0_0_0" localSheetId="0">ABRIL!$A$3:$AF$29</definedName>
    <definedName name="Print_Area_0_0_0_0_0_0_0_0_0_0_0_0_0_0_0_0_0_0_0_0_0_0_0_0_0_0_0_0_0_0_0_0_0_0_0_0_0_0_0_0_0_0_0_0_0_0" localSheetId="0">ABRIL!$A$3:$AF$29</definedName>
    <definedName name="Print_Area_0_0_0_0_0_0_0_0_0_0_0_0_0_0_0_0_0_0_0_0_0_0_0_0_0_0_0_0_0_0_0_0_0_0_0_0_0_0_0_0_0_0_0_0_0_0_0" localSheetId="0">ABRIL!$A$3:$AF$29</definedName>
    <definedName name="Print_Area_0_0_0_0_0_0_0_0_0_0_0_0_0_0_0_0_0_0_0_0_0_0_0_0_0_0_0_0_0_0_0_0_0_0_0_0_0_0_0_0_0_0_0_0_0_0_0_0" localSheetId="0">ABRIL!$A$3:$AF$29</definedName>
    <definedName name="Print_Area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Area_0_0_0_0_0_0_0_0_0_0_0_0_0_0_0_0_0_0_0_0_0_0_0_0_0_0_0_0_0_0_0_0_0_0_0_0_0_0_0_0_0_0_0_0_0_0_0_0_0_0_0_0_0_0_0_0_0_0_0_0_0_0_0_0_0_0_0_0_0_0_0_0_0_0_0_0_0_0_0_0_0_0_0_0_0_0_0_0_0_0_0_0_0_0_0_0_0_0_0_0_0_0_0_0_0_0_0_0_0_0_0_0_0_0_0_0_0_0_0" localSheetId="0">ABRIL!$A$3:$AF$29</definedName>
    <definedName name="Print_Titles_0" localSheetId="1">CONTRATACION!$A:$A</definedName>
    <definedName name="Print_Titles_0_0" localSheetId="1">CONTRATACION!$A:$A</definedName>
    <definedName name="Print_Titles_0_0_0" localSheetId="1">CONTRATACION!$A:$A</definedName>
    <definedName name="Print_Titles_0_0_0_0" localSheetId="1">CONTRATACION!$A:$A</definedName>
    <definedName name="Print_Titles_0_0_0_0_0" localSheetId="1">CONTRATACION!$A:$A</definedName>
    <definedName name="Print_Titles_0_0_0_0_0_0" localSheetId="1">CONTRATACION!$A:$A</definedName>
    <definedName name="Print_Titles_0_0_0_0_0_0_0" localSheetId="1">CONTRATACION!$A:$A</definedName>
    <definedName name="Print_Titles_0_0_0_0_0_0_0_0" localSheetId="1">CONTRATACION!$A:$A</definedName>
    <definedName name="Print_Titles_0_0_0_0_0_0_0_0_0" localSheetId="1">CONTRATACION!$A:$A</definedName>
    <definedName name="Print_Titles_0_0_0_0_0_0_0_0_0_0" localSheetId="1">CONTRATACION!$A:$A</definedName>
    <definedName name="Print_Titles_0_0_0_0_0_0_0_0_0_0_0" localSheetId="1">CONTRATACION!$A:$A</definedName>
    <definedName name="Print_Titles_0_0_0_0_0_0_0_0_0_0_0_0" localSheetId="1">CONTRATACION!$A:$A</definedName>
    <definedName name="Print_Titles_0_0_0_0_0_0_0_0_0_0_0_0_0" localSheetId="1">CONTRATACION!$A:$A</definedName>
    <definedName name="Print_Titles_0_0_0_0_0_0_0_0_0_0_0_0_0_0" localSheetId="1">CONTRATACION!$A:$A</definedName>
    <definedName name="Print_Titles_0_0_0_0_0_0_0_0_0_0_0_0_0_0_0" localSheetId="1">CONTRATACION!$A:$A</definedName>
    <definedName name="Print_Titles_0_0_0_0_0_0_0_0_0_0_0_0_0_0_0_0" localSheetId="1">CONTRATACION!$A:$A</definedName>
    <definedName name="Print_Titles_0_0_0_0_0_0_0_0_0_0_0_0_0_0_0_0_0" localSheetId="1">CONTRATACION!$A:$A</definedName>
    <definedName name="Print_Titles_0_0_0_0_0_0_0_0_0_0_0_0_0_0_0_0_0_0" localSheetId="1">CONTRATACION!$A:$A</definedName>
    <definedName name="Print_Titles_0_0_0_0_0_0_0_0_0_0_0_0_0_0_0_0_0_0_0" localSheetId="1">CONTRATACION!$A:$A</definedName>
    <definedName name="Print_Titles_0_0_0_0_0_0_0_0_0_0_0_0_0_0_0_0_0_0_0_0" localSheetId="1">CONTRATACION!$A:$A</definedName>
    <definedName name="Print_Titles_0_0_0_0_0_0_0_0_0_0_0_0_0_0_0_0_0_0_0_0_0" localSheetId="1">CONTRATACION!$A:$A</definedName>
    <definedName name="Print_Titles_0_0_0_0_0_0_0_0_0_0_0_0_0_0_0_0_0_0_0_0_0_0" localSheetId="1">CONTRATACION!$A:$A</definedName>
    <definedName name="Print_Titles_0_0_0_0_0_0_0_0_0_0_0_0_0_0_0_0_0_0_0_0_0_0_0" localSheetId="1">CONTRATACION!$A:$A</definedName>
    <definedName name="Print_Titles_0_0_0_0_0_0_0_0_0_0_0_0_0_0_0_0_0_0_0_0_0_0_0_0" localSheetId="1">CONTRATACION!$A:$A</definedName>
    <definedName name="Print_Titles_0_0_0_0_0_0_0_0_0_0_0_0_0_0_0_0_0_0_0_0_0_0_0_0_0" localSheetId="1">CONTRATACION!$A:$A</definedName>
    <definedName name="Print_Titles_0_0_0_0_0_0_0_0_0_0_0_0_0_0_0_0_0_0_0_0_0_0_0_0_0_0" localSheetId="1">CONTRATACION!$A:$A</definedName>
    <definedName name="Print_Titles_0_0_0_0_0_0_0_0_0_0_0_0_0_0_0_0_0_0_0_0_0_0_0_0_0_0_0" localSheetId="1">CONTRATACION!$A:$A</definedName>
    <definedName name="Print_Titles_0_0_0_0_0_0_0_0_0_0_0_0_0_0_0_0_0_0_0_0_0_0_0_0_0_0_0_0" localSheetId="1">CONTRATACION!$A:$A</definedName>
    <definedName name="Print_Titles_0_0_0_0_0_0_0_0_0_0_0_0_0_0_0_0_0_0_0_0_0_0_0_0_0_0_0_0_0" localSheetId="1">CONTRATACION!$A:$A</definedName>
    <definedName name="Print_Titles_0_0_0_0_0_0_0_0_0_0_0_0_0_0_0_0_0_0_0_0_0_0_0_0_0_0_0_0_0_0" localSheetId="1">CONTRATACION!$A:$A</definedName>
    <definedName name="Print_Titles_0_0_0_0_0_0_0_0_0_0_0_0_0_0_0_0_0_0_0_0_0_0_0_0_0_0_0_0_0_0_0" localSheetId="1">CONTRATACION!$A:$A</definedName>
    <definedName name="Print_Titles_0_0_0_0_0_0_0_0_0_0_0_0_0_0_0_0_0_0_0_0_0_0_0_0_0_0_0_0_0_0_0_0" localSheetId="1">CONTRATACION!$A:$A</definedName>
    <definedName name="Print_Titles_0_0_0_0_0_0_0_0_0_0_0_0_0_0_0_0_0_0_0_0_0_0_0_0_0_0_0_0_0_0_0_0_0" localSheetId="1">CONTRATACION!$A:$A</definedName>
    <definedName name="Print_Titles_0_0_0_0_0_0_0_0_0_0_0_0_0_0_0_0_0_0_0_0_0_0_0_0_0_0_0_0_0_0_0_0_0_0" localSheetId="1">CONTRATACION!$A:$A</definedName>
    <definedName name="Print_Titles_0_0_0_0_0_0_0_0_0_0_0_0_0_0_0_0_0_0_0_0_0_0_0_0_0_0_0_0_0_0_0_0_0_0_0" localSheetId="1">CONTRATACION!$A:$A</definedName>
    <definedName name="Print_Titles_0_0_0_0_0_0_0_0_0_0_0_0_0_0_0_0_0_0_0_0_0_0_0_0_0_0_0_0_0_0_0_0_0_0_0_0" localSheetId="1">CONTRATACION!$A:$A</definedName>
    <definedName name="Print_Titles_0_0_0_0_0_0_0_0_0_0_0_0_0_0_0_0_0_0_0_0_0_0_0_0_0_0_0_0_0_0_0_0_0_0_0_0_0" localSheetId="1">CONTRATACION!$A:$A</definedName>
    <definedName name="Print_Titles_0_0_0_0_0_0_0_0_0_0_0_0_0_0_0_0_0_0_0_0_0_0_0_0_0_0_0_0_0_0_0_0_0_0_0_0_0_0" localSheetId="1">CONTRATACION!$A:$A</definedName>
    <definedName name="Print_Titles_0_0_0_0_0_0_0_0_0_0_0_0_0_0_0_0_0_0_0_0_0_0_0_0_0_0_0_0_0_0_0_0_0_0_0_0_0_0_0" localSheetId="1">CONTRATACION!$A:$A</definedName>
    <definedName name="Print_Titles_0_0_0_0_0_0_0_0_0_0_0_0_0_0_0_0_0_0_0_0_0_0_0_0_0_0_0_0_0_0_0_0_0_0_0_0_0_0_0_0" localSheetId="1">CONTRATACION!$A:$A</definedName>
    <definedName name="Print_Titles_0_0_0_0_0_0_0_0_0_0_0_0_0_0_0_0_0_0_0_0_0_0_0_0_0_0_0_0_0_0_0_0_0_0_0_0_0_0_0_0_0" localSheetId="1">CONTRATACION!$A:$A</definedName>
    <definedName name="Print_Titles_0_0_0_0_0_0_0_0_0_0_0_0_0_0_0_0_0_0_0_0_0_0_0_0_0_0_0_0_0_0_0_0_0_0_0_0_0_0_0_0_0_0" localSheetId="1">CONTRATACION!$A:$A</definedName>
    <definedName name="Print_Titles_0_0_0_0_0_0_0_0_0_0_0_0_0_0_0_0_0_0_0_0_0_0_0_0_0_0_0_0_0_0_0_0_0_0_0_0_0_0_0_0_0_0_0" localSheetId="1">CONTRATACION!$A:$A</definedName>
    <definedName name="Print_Titles_0_0_0_0_0_0_0_0_0_0_0_0_0_0_0_0_0_0_0_0_0_0_0_0_0_0_0_0_0_0_0_0_0_0_0_0_0_0_0_0_0_0_0_0" localSheetId="1">CONTRATACION!$A:$A</definedName>
    <definedName name="Print_Titles_0_0_0_0_0_0_0_0_0_0_0_0_0_0_0_0_0_0_0_0_0_0_0_0_0_0_0_0_0_0_0_0_0_0_0_0_0_0_0_0_0_0_0_0_0" localSheetId="1">CONTRATACION!$A:$A</definedName>
    <definedName name="Print_Titles_0_0_0_0_0_0_0_0_0_0_0_0_0_0_0_0_0_0_0_0_0_0_0_0_0_0_0_0_0_0_0_0_0_0_0_0_0_0_0_0_0_0_0_0_0_0" localSheetId="1">CONTRATACION!$A:$A</definedName>
    <definedName name="Print_Titles_0_0_0_0_0_0_0_0_0_0_0_0_0_0_0_0_0_0_0_0_0_0_0_0_0_0_0_0_0_0_0_0_0_0_0_0_0_0_0_0_0_0_0_0_0_0_0" localSheetId="1">CONTRATACION!$A:$A</definedName>
    <definedName name="Print_Titles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Print_Titles_0_0_0_0_0_0_0_0_0_0_0_0_0_0_0_0_0_0_0_0_0_0_0_0_0_0_0_0_0_0_0_0_0_0_0_0_0_0_0_0_0_0_0_0_0_0_0_0_0_0_0_0_0_0_0_0_0_0_0_0_0_0_0_0_0_0_0_0_0_0_0_0_0_0_0_0_0_0_0_0_0_0_0_0_0_0_0_0_0_0_0_0_0_0_0_0_0_0_0_0_0_0_0_0_0_0_0_0_0_0_0_0_0_0_0_0_0_0" localSheetId="1">CONTRATACION!$A:$A</definedName>
    <definedName name="_xlnm.Print_Titles" localSheetId="0">ABRIL!#REF!</definedName>
    <definedName name="_xlnm.Print_Titles" localSheetId="1">CONTRATACION!$A:$A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16" i="1" l="1"/>
  <c r="AM16" i="1" s="1"/>
  <c r="AJ16" i="1"/>
  <c r="AK16" i="1"/>
  <c r="AL16" i="1"/>
  <c r="AN16" i="1"/>
  <c r="AO16" i="1"/>
  <c r="AP16" i="1"/>
  <c r="AQ16" i="1"/>
  <c r="AI17" i="1"/>
  <c r="AM17" i="1" s="1"/>
  <c r="AJ17" i="1"/>
  <c r="AK17" i="1"/>
  <c r="AL17" i="1"/>
  <c r="AN17" i="1"/>
  <c r="AO17" i="1"/>
  <c r="AP17" i="1"/>
  <c r="AQ17" i="1"/>
  <c r="AI18" i="1"/>
  <c r="AM18" i="1" s="1"/>
  <c r="AJ18" i="1"/>
  <c r="AK18" i="1"/>
  <c r="AL18" i="1"/>
  <c r="AN18" i="1"/>
  <c r="AO18" i="1"/>
  <c r="AP18" i="1"/>
  <c r="AQ18" i="1"/>
  <c r="AI19" i="1"/>
  <c r="AM19" i="1" s="1"/>
  <c r="AJ19" i="1"/>
  <c r="AK19" i="1"/>
  <c r="AL19" i="1"/>
  <c r="AN19" i="1"/>
  <c r="AO19" i="1"/>
  <c r="AP19" i="1"/>
  <c r="AQ19" i="1"/>
  <c r="AI20" i="1"/>
  <c r="AM20" i="1" s="1"/>
  <c r="AJ20" i="1"/>
  <c r="AK20" i="1"/>
  <c r="AL20" i="1"/>
  <c r="AN20" i="1"/>
  <c r="AO20" i="1"/>
  <c r="AP20" i="1"/>
  <c r="AQ20" i="1"/>
  <c r="AI10" i="1"/>
  <c r="AM10" i="1" s="1"/>
  <c r="AJ10" i="1"/>
  <c r="AK10" i="1"/>
  <c r="AL10" i="1"/>
  <c r="AN10" i="1"/>
  <c r="AO10" i="1"/>
  <c r="AP10" i="1"/>
  <c r="AQ10" i="1"/>
  <c r="DN26" i="7" l="1"/>
  <c r="DJ26" i="7"/>
  <c r="DF26" i="7"/>
  <c r="DB26" i="7"/>
  <c r="CX26" i="7"/>
  <c r="CT26" i="7"/>
  <c r="CP26" i="7"/>
  <c r="CL26" i="7"/>
  <c r="CH26" i="7"/>
  <c r="CD26" i="7"/>
  <c r="BZ26" i="7"/>
  <c r="BV26" i="7"/>
  <c r="BR26" i="7"/>
  <c r="BN26" i="7"/>
  <c r="BJ26" i="7"/>
  <c r="BF26" i="7"/>
  <c r="BB26" i="7"/>
  <c r="AX26" i="7"/>
  <c r="AT26" i="7"/>
  <c r="AP26" i="7"/>
  <c r="AL26" i="7"/>
  <c r="AH26" i="7"/>
  <c r="AD26" i="7"/>
  <c r="Z26" i="7"/>
  <c r="V26" i="7"/>
  <c r="R26" i="7"/>
  <c r="N26" i="7"/>
  <c r="J26" i="7"/>
  <c r="F26" i="7"/>
  <c r="B26" i="7"/>
  <c r="DN25" i="7"/>
  <c r="DJ25" i="7"/>
  <c r="DF25" i="7"/>
  <c r="DB25" i="7"/>
  <c r="CX25" i="7"/>
  <c r="CT25" i="7"/>
  <c r="CP25" i="7"/>
  <c r="CL25" i="7"/>
  <c r="CH25" i="7"/>
  <c r="CD25" i="7"/>
  <c r="BZ25" i="7"/>
  <c r="BV25" i="7"/>
  <c r="BR25" i="7"/>
  <c r="BN25" i="7"/>
  <c r="BJ25" i="7"/>
  <c r="BF25" i="7"/>
  <c r="BB25" i="7"/>
  <c r="AX25" i="7"/>
  <c r="AT25" i="7"/>
  <c r="AP25" i="7"/>
  <c r="AL25" i="7"/>
  <c r="AH25" i="7"/>
  <c r="AD25" i="7"/>
  <c r="Z25" i="7"/>
  <c r="V25" i="7"/>
  <c r="R25" i="7"/>
  <c r="N25" i="7"/>
  <c r="J25" i="7"/>
  <c r="F25" i="7"/>
  <c r="B25" i="7"/>
  <c r="DN24" i="7"/>
  <c r="DJ24" i="7"/>
  <c r="DF24" i="7"/>
  <c r="DB24" i="7"/>
  <c r="CX24" i="7"/>
  <c r="CT24" i="7"/>
  <c r="CP24" i="7"/>
  <c r="CL24" i="7"/>
  <c r="CH24" i="7"/>
  <c r="CD24" i="7"/>
  <c r="BZ24" i="7"/>
  <c r="BV24" i="7"/>
  <c r="BR24" i="7"/>
  <c r="BN24" i="7"/>
  <c r="BJ24" i="7"/>
  <c r="BF24" i="7"/>
  <c r="BB24" i="7"/>
  <c r="AX24" i="7"/>
  <c r="AT24" i="7"/>
  <c r="AP24" i="7"/>
  <c r="AL24" i="7"/>
  <c r="AH24" i="7"/>
  <c r="AD24" i="7"/>
  <c r="Z24" i="7"/>
  <c r="V24" i="7"/>
  <c r="R24" i="7"/>
  <c r="N24" i="7"/>
  <c r="J24" i="7"/>
  <c r="F24" i="7"/>
  <c r="B24" i="7"/>
  <c r="DN23" i="7"/>
  <c r="DJ23" i="7"/>
  <c r="DF23" i="7"/>
  <c r="DB23" i="7"/>
  <c r="CX23" i="7"/>
  <c r="CT23" i="7"/>
  <c r="CP23" i="7"/>
  <c r="CL23" i="7"/>
  <c r="CH23" i="7"/>
  <c r="CD23" i="7"/>
  <c r="BZ23" i="7"/>
  <c r="BV23" i="7"/>
  <c r="BR23" i="7"/>
  <c r="BN23" i="7"/>
  <c r="BJ23" i="7"/>
  <c r="BF23" i="7"/>
  <c r="BB23" i="7"/>
  <c r="AX23" i="7"/>
  <c r="AT23" i="7"/>
  <c r="AP23" i="7"/>
  <c r="AL23" i="7"/>
  <c r="AH23" i="7"/>
  <c r="AD23" i="7"/>
  <c r="Z23" i="7"/>
  <c r="V23" i="7"/>
  <c r="R23" i="7"/>
  <c r="N23" i="7"/>
  <c r="J23" i="7"/>
  <c r="F23" i="7"/>
  <c r="B23" i="7"/>
  <c r="DN22" i="7"/>
  <c r="DJ22" i="7"/>
  <c r="DF22" i="7"/>
  <c r="DB22" i="7"/>
  <c r="CX22" i="7"/>
  <c r="CT22" i="7"/>
  <c r="CP22" i="7"/>
  <c r="CL22" i="7"/>
  <c r="CH22" i="7"/>
  <c r="CD22" i="7"/>
  <c r="BZ22" i="7"/>
  <c r="BV22" i="7"/>
  <c r="BR22" i="7"/>
  <c r="BN22" i="7"/>
  <c r="BJ22" i="7"/>
  <c r="BF22" i="7"/>
  <c r="BB22" i="7"/>
  <c r="AX22" i="7"/>
  <c r="AT22" i="7"/>
  <c r="AP22" i="7"/>
  <c r="AL22" i="7"/>
  <c r="AH22" i="7"/>
  <c r="AD22" i="7"/>
  <c r="Z22" i="7"/>
  <c r="V22" i="7"/>
  <c r="R22" i="7"/>
  <c r="N22" i="7"/>
  <c r="J22" i="7"/>
  <c r="F22" i="7"/>
  <c r="B22" i="7"/>
  <c r="DQ9" i="7"/>
  <c r="DQ13" i="7" s="1"/>
  <c r="DQ17" i="7" s="1"/>
  <c r="DP9" i="7"/>
  <c r="DP13" i="7" s="1"/>
  <c r="DP17" i="7" s="1"/>
  <c r="DO9" i="7"/>
  <c r="DO13" i="7" s="1"/>
  <c r="DO17" i="7" s="1"/>
  <c r="DN9" i="7"/>
  <c r="DN13" i="7" s="1"/>
  <c r="DN17" i="7" s="1"/>
  <c r="DM9" i="7"/>
  <c r="DM13" i="7" s="1"/>
  <c r="DM17" i="7" s="1"/>
  <c r="DL9" i="7"/>
  <c r="DL13" i="7" s="1"/>
  <c r="DL17" i="7" s="1"/>
  <c r="DK9" i="7"/>
  <c r="DK13" i="7" s="1"/>
  <c r="DK17" i="7" s="1"/>
  <c r="DJ9" i="7"/>
  <c r="DJ13" i="7" s="1"/>
  <c r="DJ17" i="7" s="1"/>
  <c r="DI9" i="7"/>
  <c r="DI13" i="7" s="1"/>
  <c r="DI17" i="7" s="1"/>
  <c r="DH9" i="7"/>
  <c r="DH13" i="7" s="1"/>
  <c r="DH17" i="7" s="1"/>
  <c r="DG9" i="7"/>
  <c r="DG13" i="7" s="1"/>
  <c r="DG17" i="7" s="1"/>
  <c r="DF9" i="7"/>
  <c r="DF13" i="7" s="1"/>
  <c r="DF17" i="7" s="1"/>
  <c r="DE9" i="7"/>
  <c r="DE13" i="7" s="1"/>
  <c r="DE17" i="7" s="1"/>
  <c r="DD9" i="7"/>
  <c r="DD13" i="7" s="1"/>
  <c r="DD17" i="7" s="1"/>
  <c r="DC9" i="7"/>
  <c r="DC13" i="7" s="1"/>
  <c r="DC17" i="7" s="1"/>
  <c r="DB9" i="7"/>
  <c r="DB13" i="7" s="1"/>
  <c r="DB17" i="7" s="1"/>
  <c r="DA9" i="7"/>
  <c r="DA13" i="7" s="1"/>
  <c r="DA17" i="7" s="1"/>
  <c r="CZ9" i="7"/>
  <c r="CZ13" i="7" s="1"/>
  <c r="CZ17" i="7" s="1"/>
  <c r="CY9" i="7"/>
  <c r="CY13" i="7" s="1"/>
  <c r="CY17" i="7" s="1"/>
  <c r="CX9" i="7"/>
  <c r="CX13" i="7" s="1"/>
  <c r="CX17" i="7" s="1"/>
  <c r="CW9" i="7"/>
  <c r="CW13" i="7" s="1"/>
  <c r="CW17" i="7" s="1"/>
  <c r="CV9" i="7"/>
  <c r="CV13" i="7" s="1"/>
  <c r="CV17" i="7" s="1"/>
  <c r="CU9" i="7"/>
  <c r="CU13" i="7" s="1"/>
  <c r="CU17" i="7" s="1"/>
  <c r="CT9" i="7"/>
  <c r="CT13" i="7" s="1"/>
  <c r="CT17" i="7" s="1"/>
  <c r="CS9" i="7"/>
  <c r="CS13" i="7" s="1"/>
  <c r="CS17" i="7" s="1"/>
  <c r="CR9" i="7"/>
  <c r="CR13" i="7" s="1"/>
  <c r="CR17" i="7" s="1"/>
  <c r="CQ9" i="7"/>
  <c r="CQ13" i="7" s="1"/>
  <c r="CQ17" i="7" s="1"/>
  <c r="CP9" i="7"/>
  <c r="CP13" i="7" s="1"/>
  <c r="CP17" i="7" s="1"/>
  <c r="CO9" i="7"/>
  <c r="CO13" i="7" s="1"/>
  <c r="CO17" i="7" s="1"/>
  <c r="CN9" i="7"/>
  <c r="CN13" i="7" s="1"/>
  <c r="CN17" i="7" s="1"/>
  <c r="CM9" i="7"/>
  <c r="CM13" i="7" s="1"/>
  <c r="CM17" i="7" s="1"/>
  <c r="CL9" i="7"/>
  <c r="CL13" i="7" s="1"/>
  <c r="CL17" i="7" s="1"/>
  <c r="CK9" i="7"/>
  <c r="CK13" i="7" s="1"/>
  <c r="CK17" i="7" s="1"/>
  <c r="CJ9" i="7"/>
  <c r="CJ13" i="7" s="1"/>
  <c r="CJ17" i="7" s="1"/>
  <c r="CI9" i="7"/>
  <c r="CI13" i="7" s="1"/>
  <c r="CI17" i="7" s="1"/>
  <c r="CH9" i="7"/>
  <c r="CH13" i="7" s="1"/>
  <c r="CH17" i="7" s="1"/>
  <c r="CG9" i="7"/>
  <c r="CG13" i="7" s="1"/>
  <c r="CG17" i="7" s="1"/>
  <c r="CF9" i="7"/>
  <c r="CF13" i="7" s="1"/>
  <c r="CF17" i="7" s="1"/>
  <c r="CE9" i="7"/>
  <c r="CE13" i="7" s="1"/>
  <c r="CE17" i="7" s="1"/>
  <c r="CD9" i="7"/>
  <c r="CD13" i="7" s="1"/>
  <c r="CD17" i="7" s="1"/>
  <c r="CC9" i="7"/>
  <c r="CC13" i="7" s="1"/>
  <c r="CC17" i="7" s="1"/>
  <c r="CB9" i="7"/>
  <c r="CB13" i="7" s="1"/>
  <c r="CB17" i="7" s="1"/>
  <c r="CA9" i="7"/>
  <c r="CA13" i="7" s="1"/>
  <c r="CA17" i="7" s="1"/>
  <c r="BZ9" i="7"/>
  <c r="BZ13" i="7" s="1"/>
  <c r="BZ17" i="7" s="1"/>
  <c r="BY9" i="7"/>
  <c r="BY13" i="7" s="1"/>
  <c r="BY17" i="7" s="1"/>
  <c r="BX9" i="7"/>
  <c r="BX13" i="7" s="1"/>
  <c r="BX17" i="7" s="1"/>
  <c r="BW9" i="7"/>
  <c r="BW13" i="7" s="1"/>
  <c r="BW17" i="7" s="1"/>
  <c r="BV9" i="7"/>
  <c r="BV13" i="7" s="1"/>
  <c r="BV17" i="7" s="1"/>
  <c r="BU9" i="7"/>
  <c r="BU13" i="7" s="1"/>
  <c r="BU17" i="7" s="1"/>
  <c r="BT9" i="7"/>
  <c r="BT13" i="7" s="1"/>
  <c r="BT17" i="7" s="1"/>
  <c r="BS9" i="7"/>
  <c r="BS13" i="7" s="1"/>
  <c r="BS17" i="7" s="1"/>
  <c r="BR9" i="7"/>
  <c r="BR13" i="7" s="1"/>
  <c r="BR17" i="7" s="1"/>
  <c r="BQ9" i="7"/>
  <c r="BQ13" i="7" s="1"/>
  <c r="BQ17" i="7" s="1"/>
  <c r="BP9" i="7"/>
  <c r="BP13" i="7" s="1"/>
  <c r="BP17" i="7" s="1"/>
  <c r="BO9" i="7"/>
  <c r="BO13" i="7" s="1"/>
  <c r="BO17" i="7" s="1"/>
  <c r="BN9" i="7"/>
  <c r="BN13" i="7" s="1"/>
  <c r="BN17" i="7" s="1"/>
  <c r="BM9" i="7"/>
  <c r="BM13" i="7" s="1"/>
  <c r="BM17" i="7" s="1"/>
  <c r="BL9" i="7"/>
  <c r="BL13" i="7" s="1"/>
  <c r="BL17" i="7" s="1"/>
  <c r="BK9" i="7"/>
  <c r="BK13" i="7" s="1"/>
  <c r="BK17" i="7" s="1"/>
  <c r="BJ9" i="7"/>
  <c r="BJ13" i="7" s="1"/>
  <c r="BJ17" i="7" s="1"/>
  <c r="BI9" i="7"/>
  <c r="BI13" i="7" s="1"/>
  <c r="BI17" i="7" s="1"/>
  <c r="BH9" i="7"/>
  <c r="BH13" i="7" s="1"/>
  <c r="BH17" i="7" s="1"/>
  <c r="BG9" i="7"/>
  <c r="BG13" i="7" s="1"/>
  <c r="BG17" i="7" s="1"/>
  <c r="BF9" i="7"/>
  <c r="BF13" i="7" s="1"/>
  <c r="BF17" i="7" s="1"/>
  <c r="BE9" i="7"/>
  <c r="BE13" i="7" s="1"/>
  <c r="BE17" i="7" s="1"/>
  <c r="BD9" i="7"/>
  <c r="BD13" i="7" s="1"/>
  <c r="BD17" i="7" s="1"/>
  <c r="BC9" i="7"/>
  <c r="BC13" i="7" s="1"/>
  <c r="BC17" i="7" s="1"/>
  <c r="BB9" i="7"/>
  <c r="BB13" i="7" s="1"/>
  <c r="BB17" i="7" s="1"/>
  <c r="BA9" i="7"/>
  <c r="BA13" i="7" s="1"/>
  <c r="BA17" i="7" s="1"/>
  <c r="AZ9" i="7"/>
  <c r="AZ13" i="7" s="1"/>
  <c r="AZ17" i="7" s="1"/>
  <c r="AY9" i="7"/>
  <c r="AY13" i="7" s="1"/>
  <c r="AY17" i="7" s="1"/>
  <c r="AX9" i="7"/>
  <c r="AX13" i="7" s="1"/>
  <c r="AX17" i="7" s="1"/>
  <c r="AW9" i="7"/>
  <c r="AW13" i="7" s="1"/>
  <c r="AW17" i="7" s="1"/>
  <c r="AV9" i="7"/>
  <c r="AV13" i="7" s="1"/>
  <c r="AV17" i="7" s="1"/>
  <c r="AU9" i="7"/>
  <c r="AU13" i="7" s="1"/>
  <c r="AU17" i="7" s="1"/>
  <c r="AT9" i="7"/>
  <c r="AT13" i="7" s="1"/>
  <c r="AT17" i="7" s="1"/>
  <c r="AS9" i="7"/>
  <c r="AS13" i="7" s="1"/>
  <c r="AS17" i="7" s="1"/>
  <c r="AR9" i="7"/>
  <c r="AR13" i="7" s="1"/>
  <c r="AR17" i="7" s="1"/>
  <c r="AQ9" i="7"/>
  <c r="AQ13" i="7" s="1"/>
  <c r="AQ17" i="7" s="1"/>
  <c r="AP9" i="7"/>
  <c r="AP13" i="7" s="1"/>
  <c r="AP17" i="7" s="1"/>
  <c r="AO9" i="7"/>
  <c r="AO13" i="7" s="1"/>
  <c r="AO17" i="7" s="1"/>
  <c r="AN9" i="7"/>
  <c r="AN13" i="7" s="1"/>
  <c r="AN17" i="7" s="1"/>
  <c r="AM9" i="7"/>
  <c r="AM13" i="7" s="1"/>
  <c r="AM17" i="7" s="1"/>
  <c r="AL9" i="7"/>
  <c r="AL13" i="7" s="1"/>
  <c r="AL17" i="7" s="1"/>
  <c r="AK9" i="7"/>
  <c r="AK13" i="7" s="1"/>
  <c r="AK17" i="7" s="1"/>
  <c r="AJ9" i="7"/>
  <c r="AJ13" i="7" s="1"/>
  <c r="AJ17" i="7" s="1"/>
  <c r="AI9" i="7"/>
  <c r="AI13" i="7" s="1"/>
  <c r="AI17" i="7" s="1"/>
  <c r="AH9" i="7"/>
  <c r="AH13" i="7" s="1"/>
  <c r="AH17" i="7" s="1"/>
  <c r="AG9" i="7"/>
  <c r="AG13" i="7" s="1"/>
  <c r="AG17" i="7" s="1"/>
  <c r="AF9" i="7"/>
  <c r="AF13" i="7" s="1"/>
  <c r="AF17" i="7" s="1"/>
  <c r="AE9" i="7"/>
  <c r="AE13" i="7" s="1"/>
  <c r="AE17" i="7" s="1"/>
  <c r="AD9" i="7"/>
  <c r="AD13" i="7" s="1"/>
  <c r="AD17" i="7" s="1"/>
  <c r="AC9" i="7"/>
  <c r="AC13" i="7" s="1"/>
  <c r="AC17" i="7" s="1"/>
  <c r="AB9" i="7"/>
  <c r="AB13" i="7" s="1"/>
  <c r="AB17" i="7" s="1"/>
  <c r="AA9" i="7"/>
  <c r="AA13" i="7" s="1"/>
  <c r="AA17" i="7" s="1"/>
  <c r="Z9" i="7"/>
  <c r="Z13" i="7" s="1"/>
  <c r="Z17" i="7" s="1"/>
  <c r="Y9" i="7"/>
  <c r="Y13" i="7" s="1"/>
  <c r="Y17" i="7" s="1"/>
  <c r="X9" i="7"/>
  <c r="X13" i="7" s="1"/>
  <c r="X17" i="7" s="1"/>
  <c r="W9" i="7"/>
  <c r="W13" i="7" s="1"/>
  <c r="W17" i="7" s="1"/>
  <c r="V9" i="7"/>
  <c r="V13" i="7" s="1"/>
  <c r="V17" i="7" s="1"/>
  <c r="U9" i="7"/>
  <c r="U13" i="7" s="1"/>
  <c r="U17" i="7" s="1"/>
  <c r="T9" i="7"/>
  <c r="T13" i="7" s="1"/>
  <c r="T17" i="7" s="1"/>
  <c r="S9" i="7"/>
  <c r="S13" i="7" s="1"/>
  <c r="S17" i="7" s="1"/>
  <c r="R9" i="7"/>
  <c r="R13" i="7" s="1"/>
  <c r="R17" i="7" s="1"/>
  <c r="Q9" i="7"/>
  <c r="Q13" i="7" s="1"/>
  <c r="Q17" i="7" s="1"/>
  <c r="P9" i="7"/>
  <c r="P13" i="7" s="1"/>
  <c r="P17" i="7" s="1"/>
  <c r="O9" i="7"/>
  <c r="O13" i="7" s="1"/>
  <c r="O17" i="7" s="1"/>
  <c r="N9" i="7"/>
  <c r="N13" i="7" s="1"/>
  <c r="N17" i="7" s="1"/>
  <c r="M9" i="7"/>
  <c r="M13" i="7" s="1"/>
  <c r="M17" i="7" s="1"/>
  <c r="L9" i="7"/>
  <c r="L13" i="7" s="1"/>
  <c r="L17" i="7" s="1"/>
  <c r="K9" i="7"/>
  <c r="K13" i="7" s="1"/>
  <c r="K17" i="7" s="1"/>
  <c r="J9" i="7"/>
  <c r="J13" i="7" s="1"/>
  <c r="J17" i="7" s="1"/>
  <c r="I9" i="7"/>
  <c r="I13" i="7" s="1"/>
  <c r="I17" i="7" s="1"/>
  <c r="H9" i="7"/>
  <c r="H13" i="7" s="1"/>
  <c r="H17" i="7" s="1"/>
  <c r="G9" i="7"/>
  <c r="G13" i="7" s="1"/>
  <c r="G17" i="7" s="1"/>
  <c r="F9" i="7"/>
  <c r="F13" i="7" s="1"/>
  <c r="F17" i="7" s="1"/>
  <c r="E9" i="7"/>
  <c r="E13" i="7" s="1"/>
  <c r="E17" i="7" s="1"/>
  <c r="D9" i="7"/>
  <c r="D13" i="7" s="1"/>
  <c r="D17" i="7" s="1"/>
  <c r="C9" i="7"/>
  <c r="C13" i="7" s="1"/>
  <c r="C17" i="7" s="1"/>
  <c r="B9" i="7"/>
  <c r="B13" i="7" s="1"/>
  <c r="B17" i="7" s="1"/>
  <c r="AQ15" i="1"/>
  <c r="AP15" i="1"/>
  <c r="AO15" i="1"/>
  <c r="AN15" i="1"/>
  <c r="AL15" i="1"/>
  <c r="AK15" i="1"/>
  <c r="AJ15" i="1"/>
  <c r="AI15" i="1"/>
  <c r="AM15" i="1" s="1"/>
  <c r="AQ13" i="1"/>
  <c r="AP13" i="1"/>
  <c r="AO13" i="1"/>
  <c r="AN13" i="1"/>
  <c r="AL13" i="1"/>
  <c r="AK13" i="1"/>
  <c r="AJ13" i="1"/>
  <c r="AI13" i="1"/>
  <c r="AM13" i="1" s="1"/>
  <c r="AQ14" i="1"/>
  <c r="AP14" i="1"/>
  <c r="AO14" i="1"/>
  <c r="AN14" i="1"/>
  <c r="AL14" i="1"/>
  <c r="AK14" i="1"/>
  <c r="AJ14" i="1"/>
  <c r="AI14" i="1"/>
  <c r="AM14" i="1" s="1"/>
  <c r="AQ12" i="1"/>
  <c r="AP12" i="1"/>
  <c r="AO12" i="1"/>
  <c r="AN12" i="1"/>
  <c r="AL12" i="1"/>
  <c r="AK12" i="1"/>
  <c r="AJ12" i="1"/>
  <c r="AI12" i="1"/>
  <c r="AM12" i="1" s="1"/>
  <c r="AQ11" i="1"/>
  <c r="AP11" i="1"/>
  <c r="AO11" i="1"/>
  <c r="AN11" i="1"/>
  <c r="AL11" i="1"/>
  <c r="AK11" i="1"/>
  <c r="AJ11" i="1"/>
  <c r="AI11" i="1"/>
  <c r="AM11" i="1" s="1"/>
  <c r="AQ9" i="1"/>
  <c r="AP9" i="1"/>
  <c r="AO9" i="1"/>
  <c r="AN9" i="1"/>
  <c r="AL9" i="1"/>
  <c r="AK9" i="1"/>
  <c r="AJ9" i="1"/>
  <c r="AI9" i="1"/>
  <c r="AM9" i="1" s="1"/>
  <c r="AQ8" i="1"/>
  <c r="AP8" i="1"/>
  <c r="AO8" i="1"/>
  <c r="AN8" i="1"/>
  <c r="AL8" i="1"/>
  <c r="AK8" i="1"/>
  <c r="AJ8" i="1"/>
  <c r="AI8" i="1"/>
  <c r="AM8" i="1" s="1"/>
  <c r="AQ7" i="1"/>
  <c r="AP7" i="1"/>
  <c r="AO7" i="1"/>
  <c r="AN7" i="1"/>
  <c r="AL7" i="1"/>
  <c r="AK7" i="1"/>
  <c r="AJ7" i="1"/>
  <c r="AI7" i="1"/>
  <c r="AM7" i="1" s="1"/>
  <c r="AQ6" i="1"/>
  <c r="AP6" i="1"/>
  <c r="AO6" i="1"/>
  <c r="AN6" i="1"/>
  <c r="AL6" i="1"/>
  <c r="AK6" i="1"/>
  <c r="AJ6" i="1"/>
  <c r="AI6" i="1"/>
  <c r="AM6" i="1" s="1"/>
  <c r="AQ5" i="1"/>
  <c r="AP5" i="1"/>
  <c r="AO5" i="1"/>
  <c r="AN5" i="1"/>
  <c r="AL5" i="1"/>
  <c r="AK5" i="1"/>
  <c r="AJ5" i="1"/>
  <c r="AI5" i="1"/>
  <c r="AM5" i="1" s="1"/>
  <c r="AQ4" i="1"/>
  <c r="AP4" i="1"/>
  <c r="AO4" i="1"/>
  <c r="AN4" i="1"/>
  <c r="AL4" i="1"/>
  <c r="AK4" i="1"/>
  <c r="AJ4" i="1"/>
  <c r="AI4" i="1"/>
  <c r="AM4" i="1" s="1"/>
  <c r="AQ3" i="1"/>
  <c r="AP3" i="1"/>
  <c r="AO3" i="1"/>
  <c r="AN3" i="1"/>
  <c r="AL3" i="1"/>
  <c r="AK3" i="1"/>
  <c r="AJ3" i="1"/>
  <c r="AI3" i="1"/>
  <c r="AM3" i="1" s="1"/>
  <c r="AG19" i="7" l="1"/>
  <c r="AE19" i="7"/>
  <c r="DR25" i="7"/>
  <c r="AA19" i="7"/>
  <c r="DR23" i="7"/>
  <c r="AC19" i="7"/>
  <c r="DR22" i="7"/>
  <c r="DR24" i="7"/>
  <c r="DR26" i="7"/>
  <c r="B19" i="7"/>
  <c r="F19" i="7"/>
  <c r="J19" i="7"/>
  <c r="N19" i="7"/>
  <c r="R19" i="7"/>
  <c r="V19" i="7"/>
  <c r="Z19" i="7"/>
  <c r="AB19" i="7"/>
  <c r="AD19" i="7"/>
  <c r="AF19" i="7"/>
  <c r="AH19" i="7"/>
  <c r="AL19" i="7"/>
  <c r="AT19" i="7"/>
  <c r="BB19" i="7"/>
  <c r="BJ19" i="7"/>
  <c r="BR19" i="7"/>
  <c r="BZ19" i="7"/>
  <c r="CH19" i="7"/>
  <c r="CP19" i="7"/>
  <c r="CX19" i="7"/>
  <c r="DF19" i="7"/>
  <c r="DN19" i="7"/>
  <c r="AP19" i="7"/>
  <c r="BF19" i="7"/>
  <c r="BV19" i="7"/>
  <c r="CL19" i="7"/>
  <c r="DB19" i="7"/>
  <c r="AX19" i="7"/>
  <c r="BN19" i="7"/>
  <c r="CD19" i="7"/>
  <c r="CT19" i="7"/>
  <c r="DJ19" i="7"/>
  <c r="DR27" i="7" l="1"/>
  <c r="DR19" i="7"/>
</calcChain>
</file>

<file path=xl/sharedStrings.xml><?xml version="1.0" encoding="utf-8"?>
<sst xmlns="http://schemas.openxmlformats.org/spreadsheetml/2006/main" count="1105" uniqueCount="64">
  <si>
    <t>MI</t>
  </si>
  <si>
    <t>J</t>
  </si>
  <si>
    <t>V</t>
  </si>
  <si>
    <t>S</t>
  </si>
  <si>
    <t>D</t>
  </si>
  <si>
    <t>L</t>
  </si>
  <si>
    <t>M</t>
  </si>
  <si>
    <t>TRABAJADOS</t>
  </si>
  <si>
    <t>LIBRES</t>
  </si>
  <si>
    <t>ASUNTOS</t>
  </si>
  <si>
    <t>TRIENIOS</t>
  </si>
  <si>
    <t>AD. VAC</t>
  </si>
  <si>
    <t>P. FAMILIAR</t>
  </si>
  <si>
    <t>P. SINDICAL</t>
  </si>
  <si>
    <t>VACACIONES</t>
  </si>
  <si>
    <t>BAJAS</t>
  </si>
  <si>
    <t>BLANCO AMBRUÑEIRAS, MERCEDES</t>
  </si>
  <si>
    <t>Peon</t>
  </si>
  <si>
    <t>B</t>
  </si>
  <si>
    <t>BLANCO CARRACEDO, LAURA</t>
  </si>
  <si>
    <t>Limpiadora</t>
  </si>
  <si>
    <t>N</t>
  </si>
  <si>
    <t>CALVELO TOJO, ENCARNA</t>
  </si>
  <si>
    <t>T</t>
  </si>
  <si>
    <t>A</t>
  </si>
  <si>
    <t>C</t>
  </si>
  <si>
    <t>CARDAMA BEADE, EUGENIA</t>
  </si>
  <si>
    <t>CARRILLO LEMOS, EVA M</t>
  </si>
  <si>
    <t>GRANJA FERNANDEZ, PATRICIA</t>
  </si>
  <si>
    <t>GUIANZO REGUEIRO, CONCEPCION</t>
  </si>
  <si>
    <t>IGLESIAS LOURIDO, M CARMEN</t>
  </si>
  <si>
    <t>LAMEIRO GARCIA, BEGOÑA</t>
  </si>
  <si>
    <t>MENDEZ IGLESIAS, MANUELA</t>
  </si>
  <si>
    <t>REQUEIJO BOGA, JORGE</t>
  </si>
  <si>
    <t>SAAVEDRA PUENTE, M. JOSE</t>
  </si>
  <si>
    <t>VILOUTA IGLESIAS, MERCEDES</t>
  </si>
  <si>
    <t>MARIÑO ILLODO, LOURDES</t>
  </si>
  <si>
    <t>FERNANDEZ GOMEZ, DOLORES</t>
  </si>
  <si>
    <t>FERNANDEZ CRESPO, SONIA</t>
  </si>
  <si>
    <t>LEIS OTERO, LUZ M</t>
  </si>
  <si>
    <t>LOPEZ OTERO, SILVIA</t>
  </si>
  <si>
    <t>PAJARO ENJO, M. JESUS</t>
  </si>
  <si>
    <t>SUAREZ ROMERO, YOLANDA</t>
  </si>
  <si>
    <t>P</t>
  </si>
  <si>
    <t>PERSONAL NECESARIO</t>
  </si>
  <si>
    <t>PERSONAL DISPONIBLE</t>
  </si>
  <si>
    <t xml:space="preserve">TOTAL </t>
  </si>
  <si>
    <t>CONTRATACIÓN</t>
  </si>
  <si>
    <t>TOTAL</t>
  </si>
  <si>
    <t>PERMISO FAMILIAR</t>
  </si>
  <si>
    <t>PERMISO SINDICAL</t>
  </si>
  <si>
    <t>ABRIL 2026</t>
  </si>
  <si>
    <t>TRABAJADOR 1</t>
  </si>
  <si>
    <t>TRABAJADOR 2</t>
  </si>
  <si>
    <t>TRABAJADOR 3</t>
  </si>
  <si>
    <t>TRABAJADOR 4</t>
  </si>
  <si>
    <t>TRABAJADOR 5</t>
  </si>
  <si>
    <t>TRABAJADOR 6</t>
  </si>
  <si>
    <t>TRABAJADOR 7</t>
  </si>
  <si>
    <t>TRABAJADOR 8</t>
  </si>
  <si>
    <t>TRABAJADOR 9</t>
  </si>
  <si>
    <t>TRABAJADOR 10</t>
  </si>
  <si>
    <t>TRABAJADOR 11</t>
  </si>
  <si>
    <t>TRABAJADOR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</si>
</sst>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family val="2"/>
      <charset val="1"/>
    </font>
    <font>
      <sz val="10"/>
      <name val="Verdana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1"/>
      <color rgb="FF000000"/>
      <name val="Calibri"/>
      <family val="2"/>
    </font>
    <font>
      <b/>
      <sz val="10.5"/>
      <color rgb="FF000000"/>
      <name val="Calibri"/>
      <family val="2"/>
    </font>
    <font>
      <b/>
      <sz val="10.5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79998168889431442"/>
        <bgColor rgb="FFDAEEF3"/>
      </patternFill>
    </fill>
    <fill>
      <patternFill patternType="solid">
        <fgColor rgb="FF66FFFF"/>
        <bgColor rgb="FFFF3333"/>
      </patternFill>
    </fill>
    <fill>
      <patternFill patternType="solid">
        <fgColor rgb="FFFFFFCC"/>
        <bgColor rgb="FF00CC33"/>
      </patternFill>
    </fill>
    <fill>
      <patternFill patternType="solid">
        <fgColor rgb="FFFFFFCC"/>
        <bgColor rgb="FFFF3333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/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4" fillId="0" borderId="13" xfId="0" applyFont="1" applyBorder="1"/>
    <xf numFmtId="0" fontId="14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66FFFF"/>
      <color rgb="FFCFFAFD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657"/>
  <sheetViews>
    <sheetView zoomScaleNormal="100" workbookViewId="0">
      <pane ySplit="2" topLeftCell="A19" activePane="bottomLeft" state="frozen"/>
      <selection pane="bottomLeft" activeCell="D22" sqref="D22"/>
    </sheetView>
  </sheetViews>
  <sheetFormatPr defaultColWidth="8.85546875" defaultRowHeight="12.75"/>
  <cols>
    <col min="1" max="1" width="31.28515625" style="23"/>
    <col min="2" max="2" width="12.5703125" style="23"/>
    <col min="3" max="32" width="3.7109375" style="17" customWidth="1"/>
    <col min="33" max="33" width="3.7109375" style="18" customWidth="1"/>
    <col min="34" max="993" width="6.140625" style="14"/>
    <col min="994" max="1025" width="6.140625" style="15"/>
    <col min="1026" max="16384" width="8.85546875" style="15"/>
  </cols>
  <sheetData>
    <row r="1" spans="1:43" ht="22.5" customHeight="1">
      <c r="C1" s="39" t="s">
        <v>0</v>
      </c>
      <c r="D1" s="35" t="s">
        <v>1</v>
      </c>
      <c r="E1" s="35" t="s">
        <v>2</v>
      </c>
      <c r="F1" s="37" t="s">
        <v>3</v>
      </c>
      <c r="G1" s="37" t="s">
        <v>4</v>
      </c>
      <c r="H1" s="42" t="s">
        <v>5</v>
      </c>
      <c r="I1" s="42" t="s">
        <v>6</v>
      </c>
      <c r="J1" s="42" t="s">
        <v>0</v>
      </c>
      <c r="K1" s="42" t="s">
        <v>1</v>
      </c>
      <c r="L1" s="42" t="s">
        <v>2</v>
      </c>
      <c r="M1" s="37" t="s">
        <v>3</v>
      </c>
      <c r="N1" s="37" t="s">
        <v>4</v>
      </c>
      <c r="O1" s="42" t="s">
        <v>5</v>
      </c>
      <c r="P1" s="42" t="s">
        <v>6</v>
      </c>
      <c r="Q1" s="42" t="s">
        <v>0</v>
      </c>
      <c r="R1" s="42" t="s">
        <v>1</v>
      </c>
      <c r="S1" s="42" t="s">
        <v>2</v>
      </c>
      <c r="T1" s="37" t="s">
        <v>3</v>
      </c>
      <c r="U1" s="37" t="s">
        <v>4</v>
      </c>
      <c r="V1" s="42" t="s">
        <v>5</v>
      </c>
      <c r="W1" s="42" t="s">
        <v>6</v>
      </c>
      <c r="X1" s="45" t="s">
        <v>0</v>
      </c>
      <c r="Y1" s="46" t="s">
        <v>1</v>
      </c>
      <c r="Z1" s="42" t="s">
        <v>2</v>
      </c>
      <c r="AA1" s="37" t="s">
        <v>3</v>
      </c>
      <c r="AB1" s="37" t="s">
        <v>4</v>
      </c>
      <c r="AC1" s="42" t="s">
        <v>5</v>
      </c>
      <c r="AD1" s="42" t="s">
        <v>6</v>
      </c>
      <c r="AE1" s="42" t="s">
        <v>0</v>
      </c>
      <c r="AF1" s="47" t="s">
        <v>1</v>
      </c>
      <c r="AG1" s="14"/>
    </row>
    <row r="2" spans="1:43" ht="22.5" customHeight="1" thickBot="1">
      <c r="C2" s="40">
        <v>1</v>
      </c>
      <c r="D2" s="36">
        <v>2</v>
      </c>
      <c r="E2" s="36">
        <v>3</v>
      </c>
      <c r="F2" s="38">
        <v>4</v>
      </c>
      <c r="G2" s="38">
        <v>5</v>
      </c>
      <c r="H2" s="43">
        <v>6</v>
      </c>
      <c r="I2" s="43">
        <v>7</v>
      </c>
      <c r="J2" s="43">
        <v>8</v>
      </c>
      <c r="K2" s="43">
        <v>9</v>
      </c>
      <c r="L2" s="43">
        <v>10</v>
      </c>
      <c r="M2" s="38">
        <v>11</v>
      </c>
      <c r="N2" s="38">
        <v>12</v>
      </c>
      <c r="O2" s="43">
        <v>13</v>
      </c>
      <c r="P2" s="43">
        <v>14</v>
      </c>
      <c r="Q2" s="43">
        <v>15</v>
      </c>
      <c r="R2" s="43">
        <v>16</v>
      </c>
      <c r="S2" s="43">
        <v>17</v>
      </c>
      <c r="T2" s="38">
        <v>18</v>
      </c>
      <c r="U2" s="38">
        <v>19</v>
      </c>
      <c r="V2" s="43">
        <v>20</v>
      </c>
      <c r="W2" s="43">
        <v>21</v>
      </c>
      <c r="X2" s="43">
        <v>22</v>
      </c>
      <c r="Y2" s="43">
        <v>23</v>
      </c>
      <c r="Z2" s="43">
        <v>24</v>
      </c>
      <c r="AA2" s="38">
        <v>25</v>
      </c>
      <c r="AB2" s="38">
        <v>26</v>
      </c>
      <c r="AC2" s="43">
        <v>27</v>
      </c>
      <c r="AD2" s="43">
        <v>28</v>
      </c>
      <c r="AE2" s="43">
        <v>29</v>
      </c>
      <c r="AF2" s="48">
        <v>30</v>
      </c>
      <c r="AG2" s="14"/>
      <c r="AI2" s="14" t="s">
        <v>7</v>
      </c>
      <c r="AJ2" s="14" t="s">
        <v>8</v>
      </c>
      <c r="AK2" s="14" t="s">
        <v>9</v>
      </c>
      <c r="AL2" s="14" t="s">
        <v>10</v>
      </c>
      <c r="AM2" s="14" t="s">
        <v>11</v>
      </c>
      <c r="AN2" s="14" t="s">
        <v>12</v>
      </c>
      <c r="AO2" s="14" t="s">
        <v>13</v>
      </c>
      <c r="AP2" s="14" t="s">
        <v>14</v>
      </c>
      <c r="AQ2" s="14" t="s">
        <v>15</v>
      </c>
    </row>
    <row r="3" spans="1:43" s="14" customFormat="1" ht="22.5" customHeight="1">
      <c r="A3" s="60" t="s">
        <v>16</v>
      </c>
      <c r="B3" s="28" t="s">
        <v>17</v>
      </c>
      <c r="C3" s="49" t="s">
        <v>18</v>
      </c>
      <c r="D3" s="34" t="s">
        <v>18</v>
      </c>
      <c r="E3" s="34" t="s">
        <v>4</v>
      </c>
      <c r="F3" s="50" t="s">
        <v>4</v>
      </c>
      <c r="G3" s="51" t="s">
        <v>4</v>
      </c>
      <c r="H3" s="49" t="s">
        <v>4</v>
      </c>
      <c r="I3" s="49" t="s">
        <v>18</v>
      </c>
      <c r="J3" s="49" t="s">
        <v>18</v>
      </c>
      <c r="K3" s="49" t="s">
        <v>18</v>
      </c>
      <c r="L3" s="49" t="s">
        <v>4</v>
      </c>
      <c r="M3" s="50" t="s">
        <v>18</v>
      </c>
      <c r="N3" s="50" t="s">
        <v>18</v>
      </c>
      <c r="O3" s="49" t="s">
        <v>4</v>
      </c>
      <c r="P3" s="49" t="s">
        <v>18</v>
      </c>
      <c r="Q3" s="49" t="s">
        <v>18</v>
      </c>
      <c r="R3" s="49" t="s">
        <v>18</v>
      </c>
      <c r="S3" s="49" t="s">
        <v>18</v>
      </c>
      <c r="T3" s="51" t="s">
        <v>4</v>
      </c>
      <c r="U3" s="51" t="s">
        <v>4</v>
      </c>
      <c r="V3" s="49" t="s">
        <v>18</v>
      </c>
      <c r="W3" s="49" t="s">
        <v>18</v>
      </c>
      <c r="X3" s="49" t="s">
        <v>18</v>
      </c>
      <c r="Y3" s="49" t="s">
        <v>4</v>
      </c>
      <c r="Z3" s="49" t="s">
        <v>18</v>
      </c>
      <c r="AA3" s="33" t="s">
        <v>18</v>
      </c>
      <c r="AB3" s="33" t="s">
        <v>18</v>
      </c>
      <c r="AC3" s="49" t="s">
        <v>18</v>
      </c>
      <c r="AD3" s="49" t="s">
        <v>4</v>
      </c>
      <c r="AE3" s="49" t="s">
        <v>18</v>
      </c>
      <c r="AF3" s="49" t="s">
        <v>18</v>
      </c>
      <c r="AG3" s="20"/>
      <c r="AI3" s="14">
        <f>COUNTIF(ABRIL!C3:AG3,"M")+COUNTIF(ABRIL!C3:AG3,"T")+COUNTIF(ABRIL!C3:AG3,"N")</f>
        <v>0</v>
      </c>
      <c r="AJ3" s="14">
        <f>COUNTIF(ABRIL!C3:AG3,"D")+COUNTIF(ABRIL!C3:AG3,"DN")</f>
        <v>10</v>
      </c>
      <c r="AK3" s="14">
        <f>COUNTIF(ABRIL!C3:AG3,"A")</f>
        <v>0</v>
      </c>
      <c r="AL3" s="14">
        <f>COUNTIF(ABRIL!D3:AH3,"TR")</f>
        <v>0</v>
      </c>
      <c r="AM3" s="14">
        <f>COUNTIF(ABRIL!E3:AI3,"AV")</f>
        <v>0</v>
      </c>
      <c r="AN3" s="14">
        <f>COUNTIF(ABRIL!C3:AG3,"PF")</f>
        <v>0</v>
      </c>
      <c r="AO3" s="14">
        <f>COUNTIF(ABRIL!C3:AG3,"PS")</f>
        <v>0</v>
      </c>
      <c r="AP3" s="14">
        <f>COUNTIF(ABRIL!C3:AG3,"V")</f>
        <v>0</v>
      </c>
      <c r="AQ3" s="14">
        <f>COUNTIF(ABRIL!C3:AG3,"B")</f>
        <v>20</v>
      </c>
    </row>
    <row r="4" spans="1:43" s="14" customFormat="1" ht="22.5" customHeight="1">
      <c r="A4" s="60" t="s">
        <v>19</v>
      </c>
      <c r="B4" s="28" t="s">
        <v>20</v>
      </c>
      <c r="C4" s="52" t="s">
        <v>21</v>
      </c>
      <c r="D4" s="53" t="s">
        <v>4</v>
      </c>
      <c r="E4" s="53" t="s">
        <v>21</v>
      </c>
      <c r="F4" s="54" t="s">
        <v>4</v>
      </c>
      <c r="G4" s="54" t="s">
        <v>4</v>
      </c>
      <c r="H4" s="52" t="s">
        <v>4</v>
      </c>
      <c r="I4" s="52" t="s">
        <v>4</v>
      </c>
      <c r="J4" s="52" t="s">
        <v>4</v>
      </c>
      <c r="K4" s="52" t="s">
        <v>21</v>
      </c>
      <c r="L4" s="52" t="s">
        <v>4</v>
      </c>
      <c r="M4" s="54" t="s">
        <v>21</v>
      </c>
      <c r="N4" s="54" t="s">
        <v>4</v>
      </c>
      <c r="O4" s="52" t="s">
        <v>21</v>
      </c>
      <c r="P4" s="52" t="s">
        <v>4</v>
      </c>
      <c r="Q4" s="52" t="s">
        <v>21</v>
      </c>
      <c r="R4" s="52" t="s">
        <v>4</v>
      </c>
      <c r="S4" s="52" t="s">
        <v>21</v>
      </c>
      <c r="T4" s="54" t="s">
        <v>4</v>
      </c>
      <c r="U4" s="54" t="s">
        <v>21</v>
      </c>
      <c r="V4" s="52" t="s">
        <v>4</v>
      </c>
      <c r="W4" s="52" t="s">
        <v>21</v>
      </c>
      <c r="X4" s="52" t="s">
        <v>4</v>
      </c>
      <c r="Y4" s="52" t="s">
        <v>4</v>
      </c>
      <c r="Z4" s="52" t="s">
        <v>4</v>
      </c>
      <c r="AA4" s="54" t="s">
        <v>21</v>
      </c>
      <c r="AB4" s="54" t="s">
        <v>4</v>
      </c>
      <c r="AC4" s="52" t="s">
        <v>21</v>
      </c>
      <c r="AD4" s="52" t="s">
        <v>4</v>
      </c>
      <c r="AE4" s="52" t="s">
        <v>21</v>
      </c>
      <c r="AF4" s="52" t="s">
        <v>4</v>
      </c>
      <c r="AG4" s="21"/>
      <c r="AI4" s="14">
        <f>COUNTIF(ABRIL!C4:AG4,"M")+COUNTIF(ABRIL!C4:AG4,"T")+COUNTIF(ABRIL!C4:AG4,"N")</f>
        <v>12</v>
      </c>
      <c r="AJ4" s="14">
        <f>COUNTIF(ABRIL!C4:AG4,"D")+COUNTIF(ABRIL!C4:AG4,"DN")</f>
        <v>18</v>
      </c>
      <c r="AK4" s="14">
        <f>COUNTIF(ABRIL!C4:AG4,"A")</f>
        <v>0</v>
      </c>
      <c r="AL4" s="14">
        <f>COUNTIF(ABRIL!D4:AH4,"TR")</f>
        <v>0</v>
      </c>
      <c r="AM4" s="14">
        <f>COUNTIF(ABRIL!E4:AI4,"AV")</f>
        <v>0</v>
      </c>
      <c r="AN4" s="14">
        <f>COUNTIF(ABRIL!C4:AG4,"PF")</f>
        <v>0</v>
      </c>
      <c r="AO4" s="14">
        <f>COUNTIF(ABRIL!C4:AG4,"PS")</f>
        <v>0</v>
      </c>
      <c r="AP4" s="14">
        <f>COUNTIF(ABRIL!C4:AG4,"V")</f>
        <v>0</v>
      </c>
      <c r="AQ4" s="14">
        <f>COUNTIF(ABRIL!C4:AG4,"B")</f>
        <v>0</v>
      </c>
    </row>
    <row r="5" spans="1:43" s="14" customFormat="1" ht="22.5" customHeight="1">
      <c r="A5" s="60" t="s">
        <v>22</v>
      </c>
      <c r="B5" s="28" t="s">
        <v>20</v>
      </c>
      <c r="C5" s="49" t="s">
        <v>4</v>
      </c>
      <c r="D5" s="34" t="s">
        <v>23</v>
      </c>
      <c r="E5" s="34" t="s">
        <v>4</v>
      </c>
      <c r="F5" s="33" t="s">
        <v>23</v>
      </c>
      <c r="G5" s="33" t="s">
        <v>23</v>
      </c>
      <c r="H5" s="62" t="s">
        <v>24</v>
      </c>
      <c r="I5" s="49" t="s">
        <v>4</v>
      </c>
      <c r="J5" s="49" t="s">
        <v>4</v>
      </c>
      <c r="K5" s="49" t="s">
        <v>25</v>
      </c>
      <c r="L5" s="49" t="s">
        <v>23</v>
      </c>
      <c r="M5" s="51" t="s">
        <v>4</v>
      </c>
      <c r="N5" s="51" t="s">
        <v>4</v>
      </c>
      <c r="O5" s="49" t="s">
        <v>23</v>
      </c>
      <c r="P5" s="49" t="s">
        <v>25</v>
      </c>
      <c r="Q5" s="49" t="s">
        <v>23</v>
      </c>
      <c r="R5" s="49" t="s">
        <v>4</v>
      </c>
      <c r="S5" s="49" t="s">
        <v>4</v>
      </c>
      <c r="T5" s="33" t="s">
        <v>23</v>
      </c>
      <c r="U5" s="33" t="s">
        <v>23</v>
      </c>
      <c r="V5" s="49" t="s">
        <v>23</v>
      </c>
      <c r="W5" s="49" t="s">
        <v>23</v>
      </c>
      <c r="X5" s="49" t="s">
        <v>4</v>
      </c>
      <c r="Y5" s="49" t="s">
        <v>23</v>
      </c>
      <c r="Z5" s="49" t="s">
        <v>23</v>
      </c>
      <c r="AA5" s="50" t="s">
        <v>4</v>
      </c>
      <c r="AB5" s="51" t="s">
        <v>4</v>
      </c>
      <c r="AC5" s="49" t="s">
        <v>4</v>
      </c>
      <c r="AD5" s="49" t="s">
        <v>23</v>
      </c>
      <c r="AE5" s="49" t="s">
        <v>23</v>
      </c>
      <c r="AF5" s="49" t="s">
        <v>23</v>
      </c>
      <c r="AG5" s="21"/>
      <c r="AI5" s="14">
        <f>COUNTIF(ABRIL!C5:AG5,"M")+COUNTIF(ABRIL!C5:AG5,"T")+COUNTIF(ABRIL!C5:AG5,"N")</f>
        <v>15</v>
      </c>
      <c r="AJ5" s="14">
        <f>COUNTIF(ABRIL!C5:AG5,"D")+COUNTIF(ABRIL!C5:AG5,"DN")</f>
        <v>12</v>
      </c>
      <c r="AK5" s="14">
        <f>COUNTIF(ABRIL!C5:AG5,"A")</f>
        <v>1</v>
      </c>
      <c r="AL5" s="14">
        <f>COUNTIF(ABRIL!D5:AH5,"TR")</f>
        <v>0</v>
      </c>
      <c r="AM5" s="14">
        <f>COUNTIF(ABRIL!E5:AI5,"AV")</f>
        <v>0</v>
      </c>
      <c r="AN5" s="14">
        <f>COUNTIF(ABRIL!C5:AG5,"PF")</f>
        <v>0</v>
      </c>
      <c r="AO5" s="14">
        <f>COUNTIF(ABRIL!C5:AG5,"PS")</f>
        <v>0</v>
      </c>
      <c r="AP5" s="14">
        <f>COUNTIF(ABRIL!C5:AG5,"V")</f>
        <v>0</v>
      </c>
      <c r="AQ5" s="14">
        <f>COUNTIF(ABRIL!C5:AG5,"B")</f>
        <v>0</v>
      </c>
    </row>
    <row r="6" spans="1:43" s="14" customFormat="1" ht="22.5" customHeight="1">
      <c r="A6" s="60" t="s">
        <v>26</v>
      </c>
      <c r="B6" s="28" t="s">
        <v>20</v>
      </c>
      <c r="C6" s="49" t="s">
        <v>4</v>
      </c>
      <c r="D6" s="34" t="s">
        <v>6</v>
      </c>
      <c r="E6" s="34" t="s">
        <v>4</v>
      </c>
      <c r="F6" s="33" t="s">
        <v>6</v>
      </c>
      <c r="G6" s="33" t="s">
        <v>6</v>
      </c>
      <c r="H6" s="49" t="s">
        <v>6</v>
      </c>
      <c r="I6" s="49" t="s">
        <v>4</v>
      </c>
      <c r="J6" s="49" t="s">
        <v>4</v>
      </c>
      <c r="K6" s="49" t="s">
        <v>6</v>
      </c>
      <c r="L6" s="49" t="s">
        <v>6</v>
      </c>
      <c r="M6" s="51" t="s">
        <v>4</v>
      </c>
      <c r="N6" s="51" t="s">
        <v>4</v>
      </c>
      <c r="O6" s="49" t="s">
        <v>6</v>
      </c>
      <c r="P6" s="49" t="s">
        <v>6</v>
      </c>
      <c r="Q6" s="49" t="s">
        <v>6</v>
      </c>
      <c r="R6" s="49" t="s">
        <v>4</v>
      </c>
      <c r="S6" s="49" t="s">
        <v>4</v>
      </c>
      <c r="T6" s="33" t="s">
        <v>6</v>
      </c>
      <c r="U6" s="33" t="s">
        <v>6</v>
      </c>
      <c r="V6" s="49" t="s">
        <v>6</v>
      </c>
      <c r="W6" s="49" t="s">
        <v>6</v>
      </c>
      <c r="X6" s="49" t="s">
        <v>4</v>
      </c>
      <c r="Y6" s="49" t="s">
        <v>6</v>
      </c>
      <c r="Z6" s="49" t="s">
        <v>6</v>
      </c>
      <c r="AA6" s="50" t="s">
        <v>4</v>
      </c>
      <c r="AB6" s="51" t="s">
        <v>4</v>
      </c>
      <c r="AC6" s="49" t="s">
        <v>4</v>
      </c>
      <c r="AD6" s="49" t="s">
        <v>6</v>
      </c>
      <c r="AE6" s="49" t="s">
        <v>6</v>
      </c>
      <c r="AF6" s="49" t="s">
        <v>4</v>
      </c>
      <c r="AG6" s="21"/>
      <c r="AI6" s="14">
        <f>COUNTIF(ABRIL!C6:AG6,"M")+COUNTIF(ABRIL!C6:AG6,"T")+COUNTIF(ABRIL!C6:AG6,"N")</f>
        <v>17</v>
      </c>
      <c r="AJ6" s="14">
        <f>COUNTIF(ABRIL!C6:AG6,"D")+COUNTIF(ABRIL!C6:AG6,"DN")</f>
        <v>13</v>
      </c>
      <c r="AK6" s="14">
        <f>COUNTIF(ABRIL!C6:AG6,"A")</f>
        <v>0</v>
      </c>
      <c r="AL6" s="14">
        <f>COUNTIF(ABRIL!D6:AH6,"TR")</f>
        <v>0</v>
      </c>
      <c r="AM6" s="14">
        <f>COUNTIF(ABRIL!E6:AI6,"AV")</f>
        <v>0</v>
      </c>
      <c r="AN6" s="14">
        <f>COUNTIF(ABRIL!C6:AG6,"PF")</f>
        <v>0</v>
      </c>
      <c r="AO6" s="14">
        <f>COUNTIF(ABRIL!C6:AG6,"PS")</f>
        <v>0</v>
      </c>
      <c r="AP6" s="14">
        <f>COUNTIF(ABRIL!C6:AG6,"V")</f>
        <v>0</v>
      </c>
      <c r="AQ6" s="14">
        <f>COUNTIF(ABRIL!C6:AG6,"B")</f>
        <v>0</v>
      </c>
    </row>
    <row r="7" spans="1:43" s="14" customFormat="1" ht="22.5" customHeight="1">
      <c r="A7" s="60" t="s">
        <v>27</v>
      </c>
      <c r="B7" s="28" t="s">
        <v>20</v>
      </c>
      <c r="C7" s="49" t="s">
        <v>4</v>
      </c>
      <c r="D7" s="34" t="s">
        <v>4</v>
      </c>
      <c r="E7" s="34" t="s">
        <v>6</v>
      </c>
      <c r="F7" s="50" t="s">
        <v>4</v>
      </c>
      <c r="G7" s="51" t="s">
        <v>4</v>
      </c>
      <c r="H7" s="49" t="s">
        <v>6</v>
      </c>
      <c r="I7" s="49" t="s">
        <v>6</v>
      </c>
      <c r="J7" s="49" t="s">
        <v>6</v>
      </c>
      <c r="K7" s="49" t="s">
        <v>4</v>
      </c>
      <c r="L7" s="49" t="s">
        <v>6</v>
      </c>
      <c r="M7" s="33" t="s">
        <v>6</v>
      </c>
      <c r="N7" s="33" t="s">
        <v>6</v>
      </c>
      <c r="O7" s="49" t="s">
        <v>6</v>
      </c>
      <c r="P7" s="49" t="s">
        <v>4</v>
      </c>
      <c r="Q7" s="49" t="s">
        <v>6</v>
      </c>
      <c r="R7" s="49" t="s">
        <v>6</v>
      </c>
      <c r="S7" s="49" t="s">
        <v>6</v>
      </c>
      <c r="T7" s="51" t="s">
        <v>4</v>
      </c>
      <c r="U7" s="51" t="s">
        <v>4</v>
      </c>
      <c r="V7" s="49" t="s">
        <v>6</v>
      </c>
      <c r="W7" s="49" t="s">
        <v>6</v>
      </c>
      <c r="X7" s="49" t="s">
        <v>6</v>
      </c>
      <c r="Y7" s="49" t="s">
        <v>6</v>
      </c>
      <c r="Z7" s="49" t="s">
        <v>4</v>
      </c>
      <c r="AA7" s="33" t="s">
        <v>6</v>
      </c>
      <c r="AB7" s="33" t="s">
        <v>6</v>
      </c>
      <c r="AC7" s="49" t="s">
        <v>4</v>
      </c>
      <c r="AD7" s="49" t="s">
        <v>6</v>
      </c>
      <c r="AE7" s="49" t="s">
        <v>6</v>
      </c>
      <c r="AF7" s="49" t="s">
        <v>6</v>
      </c>
      <c r="AG7" s="21"/>
      <c r="AI7" s="14">
        <f>COUNTIF(ABRIL!C7:AG7,"M")+COUNTIF(ABRIL!C7:AG7,"T")+COUNTIF(ABRIL!C7:AG7,"N")</f>
        <v>20</v>
      </c>
      <c r="AJ7" s="14">
        <f>COUNTIF(ABRIL!C7:AG7,"D")+COUNTIF(ABRIL!C7:AG7,"DN")</f>
        <v>10</v>
      </c>
      <c r="AK7" s="14">
        <f>COUNTIF(ABRIL!C7:AG7,"A")</f>
        <v>0</v>
      </c>
      <c r="AL7" s="14">
        <f>COUNTIF(ABRIL!D7:AH7,"TR")</f>
        <v>0</v>
      </c>
      <c r="AM7" s="14">
        <f>COUNTIF(ABRIL!E7:AI7,"AV")</f>
        <v>0</v>
      </c>
      <c r="AN7" s="14">
        <f>COUNTIF(ABRIL!C7:AG7,"PF")</f>
        <v>0</v>
      </c>
      <c r="AO7" s="14">
        <f>COUNTIF(ABRIL!C7:AG7,"PS")</f>
        <v>0</v>
      </c>
      <c r="AP7" s="14">
        <f>COUNTIF(ABRIL!C7:AG7,"V")</f>
        <v>0</v>
      </c>
      <c r="AQ7" s="14">
        <f>COUNTIF(ABRIL!C7:AG7,"B")</f>
        <v>0</v>
      </c>
    </row>
    <row r="8" spans="1:43" s="14" customFormat="1" ht="22.5" customHeight="1">
      <c r="A8" s="60" t="s">
        <v>28</v>
      </c>
      <c r="B8" s="28" t="s">
        <v>20</v>
      </c>
      <c r="C8" s="49" t="s">
        <v>4</v>
      </c>
      <c r="D8" s="34" t="s">
        <v>4</v>
      </c>
      <c r="E8" s="34" t="s">
        <v>18</v>
      </c>
      <c r="F8" s="51" t="s">
        <v>4</v>
      </c>
      <c r="G8" s="51" t="s">
        <v>4</v>
      </c>
      <c r="H8" s="49" t="s">
        <v>18</v>
      </c>
      <c r="I8" s="49" t="s">
        <v>18</v>
      </c>
      <c r="J8" s="49" t="s">
        <v>18</v>
      </c>
      <c r="K8" s="49" t="s">
        <v>18</v>
      </c>
      <c r="L8" s="49" t="s">
        <v>4</v>
      </c>
      <c r="M8" s="33" t="s">
        <v>18</v>
      </c>
      <c r="N8" s="33" t="s">
        <v>18</v>
      </c>
      <c r="O8" s="49" t="s">
        <v>18</v>
      </c>
      <c r="P8" s="49" t="s">
        <v>18</v>
      </c>
      <c r="Q8" s="49" t="s">
        <v>4</v>
      </c>
      <c r="R8" s="49" t="s">
        <v>18</v>
      </c>
      <c r="S8" s="49" t="s">
        <v>18</v>
      </c>
      <c r="T8" s="50" t="s">
        <v>4</v>
      </c>
      <c r="U8" s="51" t="s">
        <v>4</v>
      </c>
      <c r="V8" s="49" t="s">
        <v>4</v>
      </c>
      <c r="W8" s="49" t="s">
        <v>18</v>
      </c>
      <c r="X8" s="49" t="s">
        <v>18</v>
      </c>
      <c r="Y8" s="49" t="s">
        <v>18</v>
      </c>
      <c r="Z8" s="49" t="s">
        <v>4</v>
      </c>
      <c r="AA8" s="50" t="s">
        <v>18</v>
      </c>
      <c r="AB8" s="50" t="s">
        <v>18</v>
      </c>
      <c r="AC8" s="49" t="s">
        <v>4</v>
      </c>
      <c r="AD8" s="49" t="s">
        <v>18</v>
      </c>
      <c r="AE8" s="49" t="s">
        <v>18</v>
      </c>
      <c r="AF8" s="49" t="s">
        <v>18</v>
      </c>
      <c r="AG8" s="22"/>
      <c r="AI8" s="14">
        <f>COUNTIF(ABRIL!C8:AG8,"M")+COUNTIF(ABRIL!C8:AG8,"T")+COUNTIF(ABRIL!C8:AG8,"N")</f>
        <v>0</v>
      </c>
      <c r="AJ8" s="14">
        <f>COUNTIF(ABRIL!C8:AG8,"D")+COUNTIF(ABRIL!C8:AG8,"DN")</f>
        <v>11</v>
      </c>
      <c r="AK8" s="14">
        <f>COUNTIF(ABRIL!C8:AG8,"A")</f>
        <v>0</v>
      </c>
      <c r="AL8" s="14">
        <f>COUNTIF(ABRIL!D8:AH8,"TR")</f>
        <v>0</v>
      </c>
      <c r="AM8" s="14">
        <f>COUNTIF(ABRIL!E8:AI8,"AV")</f>
        <v>0</v>
      </c>
      <c r="AN8" s="14">
        <f>COUNTIF(ABRIL!C8:AG8,"PF")</f>
        <v>0</v>
      </c>
      <c r="AO8" s="14">
        <f>COUNTIF(ABRIL!C8:AG8,"PS")</f>
        <v>0</v>
      </c>
      <c r="AP8" s="14">
        <f>COUNTIF(ABRIL!C8:AG8,"V")</f>
        <v>0</v>
      </c>
      <c r="AQ8" s="14">
        <f>COUNTIF(ABRIL!C8:AG8,"B")</f>
        <v>19</v>
      </c>
    </row>
    <row r="9" spans="1:43" s="14" customFormat="1" ht="22.5" customHeight="1">
      <c r="A9" s="61" t="s">
        <v>29</v>
      </c>
      <c r="B9" s="28" t="s">
        <v>20</v>
      </c>
      <c r="C9" s="52" t="s">
        <v>4</v>
      </c>
      <c r="D9" s="53" t="s">
        <v>21</v>
      </c>
      <c r="E9" s="53" t="s">
        <v>4</v>
      </c>
      <c r="F9" s="54" t="s">
        <v>21</v>
      </c>
      <c r="G9" s="54" t="s">
        <v>4</v>
      </c>
      <c r="H9" s="52" t="s">
        <v>21</v>
      </c>
      <c r="I9" s="52" t="s">
        <v>4</v>
      </c>
      <c r="J9" s="52" t="s">
        <v>4</v>
      </c>
      <c r="K9" s="52" t="s">
        <v>4</v>
      </c>
      <c r="L9" s="52" t="s">
        <v>21</v>
      </c>
      <c r="M9" s="54" t="s">
        <v>4</v>
      </c>
      <c r="N9" s="54" t="s">
        <v>21</v>
      </c>
      <c r="O9" s="52" t="s">
        <v>4</v>
      </c>
      <c r="P9" s="52" t="s">
        <v>21</v>
      </c>
      <c r="Q9" s="52" t="s">
        <v>4</v>
      </c>
      <c r="R9" s="52" t="s">
        <v>21</v>
      </c>
      <c r="S9" s="52" t="s">
        <v>4</v>
      </c>
      <c r="T9" s="54" t="s">
        <v>21</v>
      </c>
      <c r="U9" s="54" t="s">
        <v>4</v>
      </c>
      <c r="V9" s="52" t="s">
        <v>21</v>
      </c>
      <c r="W9" s="52" t="s">
        <v>4</v>
      </c>
      <c r="X9" s="52" t="s">
        <v>21</v>
      </c>
      <c r="Y9" s="52" t="s">
        <v>4</v>
      </c>
      <c r="Z9" s="52" t="s">
        <v>4</v>
      </c>
      <c r="AA9" s="54" t="s">
        <v>4</v>
      </c>
      <c r="AB9" s="54" t="s">
        <v>21</v>
      </c>
      <c r="AC9" s="52" t="s">
        <v>4</v>
      </c>
      <c r="AD9" s="52" t="s">
        <v>21</v>
      </c>
      <c r="AE9" s="52" t="s">
        <v>4</v>
      </c>
      <c r="AF9" s="52" t="s">
        <v>21</v>
      </c>
      <c r="AG9" s="21"/>
      <c r="AI9" s="14">
        <f>COUNTIF(ABRIL!C9:AG9,"M")+COUNTIF(ABRIL!C9:AG9,"T")+COUNTIF(ABRIL!C9:AG9,"N")</f>
        <v>13</v>
      </c>
      <c r="AJ9" s="14">
        <f>COUNTIF(ABRIL!C9:AG9,"D")+COUNTIF(ABRIL!C9:AG9,"DN")</f>
        <v>17</v>
      </c>
      <c r="AK9" s="14">
        <f>COUNTIF(ABRIL!C9:AG9,"A")</f>
        <v>0</v>
      </c>
      <c r="AL9" s="14">
        <f>COUNTIF(ABRIL!D9:AH9,"TR")</f>
        <v>0</v>
      </c>
      <c r="AM9" s="14">
        <f>COUNTIF(ABRIL!E9:AI9,"AV")</f>
        <v>0</v>
      </c>
      <c r="AN9" s="14">
        <f>COUNTIF(ABRIL!C9:AG9,"PF")</f>
        <v>0</v>
      </c>
      <c r="AO9" s="14">
        <f>COUNTIF(ABRIL!C9:AG9,"PS")</f>
        <v>0</v>
      </c>
      <c r="AP9" s="14">
        <f>COUNTIF(ABRIL!C9:AG9,"V")</f>
        <v>0</v>
      </c>
      <c r="AQ9" s="14">
        <f>COUNTIF(ABRIL!C9:AG9,"B")</f>
        <v>0</v>
      </c>
    </row>
    <row r="10" spans="1:43" s="14" customFormat="1" ht="22.5" customHeight="1">
      <c r="A10" s="61" t="s">
        <v>30</v>
      </c>
      <c r="B10" s="28" t="s">
        <v>20</v>
      </c>
      <c r="C10" s="55" t="s">
        <v>23</v>
      </c>
      <c r="D10" s="56" t="s">
        <v>4</v>
      </c>
      <c r="E10" s="56" t="s">
        <v>4</v>
      </c>
      <c r="F10" s="57" t="s">
        <v>23</v>
      </c>
      <c r="G10" s="57" t="s">
        <v>25</v>
      </c>
      <c r="H10" s="55" t="s">
        <v>23</v>
      </c>
      <c r="I10" s="55" t="s">
        <v>23</v>
      </c>
      <c r="J10" s="55" t="s">
        <v>4</v>
      </c>
      <c r="K10" s="55" t="s">
        <v>23</v>
      </c>
      <c r="L10" s="55" t="s">
        <v>23</v>
      </c>
      <c r="M10" s="57" t="s">
        <v>4</v>
      </c>
      <c r="N10" s="57" t="s">
        <v>4</v>
      </c>
      <c r="O10" s="55" t="s">
        <v>4</v>
      </c>
      <c r="P10" s="55" t="s">
        <v>23</v>
      </c>
      <c r="Q10" s="55" t="s">
        <v>23</v>
      </c>
      <c r="R10" s="55" t="s">
        <v>23</v>
      </c>
      <c r="S10" s="55" t="s">
        <v>23</v>
      </c>
      <c r="T10" s="57" t="s">
        <v>4</v>
      </c>
      <c r="U10" s="57" t="s">
        <v>4</v>
      </c>
      <c r="V10" s="55" t="s">
        <v>23</v>
      </c>
      <c r="W10" s="55" t="s">
        <v>23</v>
      </c>
      <c r="X10" s="55" t="s">
        <v>23</v>
      </c>
      <c r="Y10" s="55" t="s">
        <v>4</v>
      </c>
      <c r="Z10" s="55" t="s">
        <v>23</v>
      </c>
      <c r="AA10" s="57" t="s">
        <v>23</v>
      </c>
      <c r="AB10" s="57" t="s">
        <v>23</v>
      </c>
      <c r="AC10" s="55" t="s">
        <v>23</v>
      </c>
      <c r="AD10" s="55" t="s">
        <v>4</v>
      </c>
      <c r="AE10" s="55" t="s">
        <v>23</v>
      </c>
      <c r="AF10" s="55" t="s">
        <v>23</v>
      </c>
      <c r="AG10" s="21"/>
      <c r="AI10" s="14">
        <f>COUNTIF(ABRIL!C10:AG10,"M")+COUNTIF(ABRIL!C10:AG10,"T")+COUNTIF(ABRIL!C10:AG10,"N")</f>
        <v>19</v>
      </c>
      <c r="AJ10" s="14">
        <f>COUNTIF(ABRIL!C10:AG10,"D")+COUNTIF(ABRIL!C10:AG10,"DN")</f>
        <v>10</v>
      </c>
      <c r="AK10" s="14">
        <f>COUNTIF(ABRIL!C10:AG10,"A")</f>
        <v>0</v>
      </c>
      <c r="AL10" s="14">
        <f>COUNTIF(ABRIL!D10:AH10,"TR")</f>
        <v>0</v>
      </c>
      <c r="AM10" s="14">
        <f>COUNTIF(ABRIL!E10:AI10,"AV")</f>
        <v>0</v>
      </c>
      <c r="AN10" s="14">
        <f>COUNTIF(ABRIL!C10:AG10,"PF")</f>
        <v>0</v>
      </c>
      <c r="AO10" s="14">
        <f>COUNTIF(ABRIL!C10:AG10,"PS")</f>
        <v>0</v>
      </c>
      <c r="AP10" s="14">
        <f>COUNTIF(ABRIL!C10:AG10,"V")</f>
        <v>0</v>
      </c>
      <c r="AQ10" s="14">
        <f>COUNTIF(ABRIL!C10:AG10,"B")</f>
        <v>0</v>
      </c>
    </row>
    <row r="11" spans="1:43" s="14" customFormat="1" ht="22.5" customHeight="1">
      <c r="A11" s="60" t="s">
        <v>31</v>
      </c>
      <c r="B11" s="28" t="s">
        <v>20</v>
      </c>
      <c r="C11" s="49" t="s">
        <v>6</v>
      </c>
      <c r="D11" s="58" t="s">
        <v>6</v>
      </c>
      <c r="E11" s="34" t="s">
        <v>4</v>
      </c>
      <c r="F11" s="33" t="s">
        <v>6</v>
      </c>
      <c r="G11" s="33" t="s">
        <v>6</v>
      </c>
      <c r="H11" s="49" t="s">
        <v>25</v>
      </c>
      <c r="I11" s="49" t="s">
        <v>4</v>
      </c>
      <c r="J11" s="49" t="s">
        <v>6</v>
      </c>
      <c r="K11" s="49" t="s">
        <v>6</v>
      </c>
      <c r="L11" s="49" t="s">
        <v>6</v>
      </c>
      <c r="M11" s="51" t="s">
        <v>4</v>
      </c>
      <c r="N11" s="51" t="s">
        <v>4</v>
      </c>
      <c r="O11" s="49" t="s">
        <v>6</v>
      </c>
      <c r="P11" s="49" t="s">
        <v>6</v>
      </c>
      <c r="Q11" s="49" t="s">
        <v>6</v>
      </c>
      <c r="R11" s="49" t="s">
        <v>6</v>
      </c>
      <c r="S11" s="49" t="s">
        <v>4</v>
      </c>
      <c r="T11" s="33" t="s">
        <v>6</v>
      </c>
      <c r="U11" s="33" t="s">
        <v>6</v>
      </c>
      <c r="V11" s="49" t="s">
        <v>4</v>
      </c>
      <c r="W11" s="49" t="s">
        <v>6</v>
      </c>
      <c r="X11" s="49" t="s">
        <v>6</v>
      </c>
      <c r="Y11" s="49" t="s">
        <v>6</v>
      </c>
      <c r="Z11" s="49" t="s">
        <v>6</v>
      </c>
      <c r="AA11" s="51" t="s">
        <v>4</v>
      </c>
      <c r="AB11" s="51" t="s">
        <v>4</v>
      </c>
      <c r="AC11" s="49" t="s">
        <v>6</v>
      </c>
      <c r="AD11" s="49" t="s">
        <v>6</v>
      </c>
      <c r="AE11" s="49" t="s">
        <v>4</v>
      </c>
      <c r="AF11" s="49" t="s">
        <v>6</v>
      </c>
      <c r="AI11" s="14">
        <f>COUNTIF(ABRIL!C11:AG11,"M")+COUNTIF(ABRIL!C11:AG11,"T")+COUNTIF(ABRIL!C11:AG11,"N")</f>
        <v>20</v>
      </c>
      <c r="AJ11" s="14">
        <f>COUNTIF(ABRIL!C11:AG11,"D")+COUNTIF(ABRIL!C11:AG11,"DN")</f>
        <v>9</v>
      </c>
      <c r="AK11" s="14">
        <f>COUNTIF(ABRIL!C11:AG11,"A")</f>
        <v>0</v>
      </c>
      <c r="AL11" s="14">
        <f>COUNTIF(ABRIL!D11:AH11,"TR")</f>
        <v>0</v>
      </c>
      <c r="AM11" s="14">
        <f>COUNTIF(ABRIL!E11:AI11,"AV")</f>
        <v>0</v>
      </c>
      <c r="AN11" s="14">
        <f>COUNTIF(ABRIL!C11:AG11,"PF")</f>
        <v>0</v>
      </c>
      <c r="AO11" s="14">
        <f>COUNTIF(ABRIL!C11:AG11,"PS")</f>
        <v>0</v>
      </c>
      <c r="AP11" s="14">
        <f>COUNTIF(ABRIL!C11:AG11,"V")</f>
        <v>0</v>
      </c>
      <c r="AQ11" s="14">
        <f>COUNTIF(ABRIL!C11:AG11,"B")</f>
        <v>0</v>
      </c>
    </row>
    <row r="12" spans="1:43" s="14" customFormat="1" ht="22.5" customHeight="1">
      <c r="A12" s="60" t="s">
        <v>32</v>
      </c>
      <c r="B12" s="28" t="s">
        <v>20</v>
      </c>
      <c r="C12" s="55" t="s">
        <v>23</v>
      </c>
      <c r="D12" s="64" t="s">
        <v>24</v>
      </c>
      <c r="E12" s="56" t="s">
        <v>4</v>
      </c>
      <c r="F12" s="57" t="s">
        <v>4</v>
      </c>
      <c r="G12" s="57" t="s">
        <v>4</v>
      </c>
      <c r="H12" s="55" t="s">
        <v>23</v>
      </c>
      <c r="I12" s="55" t="s">
        <v>23</v>
      </c>
      <c r="J12" s="55" t="s">
        <v>4</v>
      </c>
      <c r="K12" s="55" t="s">
        <v>23</v>
      </c>
      <c r="L12" s="55" t="s">
        <v>23</v>
      </c>
      <c r="M12" s="57" t="s">
        <v>4</v>
      </c>
      <c r="N12" s="57" t="s">
        <v>4</v>
      </c>
      <c r="O12" s="55" t="s">
        <v>23</v>
      </c>
      <c r="P12" s="55" t="s">
        <v>23</v>
      </c>
      <c r="Q12" s="55" t="s">
        <v>23</v>
      </c>
      <c r="R12" s="55" t="s">
        <v>23</v>
      </c>
      <c r="S12" s="55" t="s">
        <v>4</v>
      </c>
      <c r="T12" s="57" t="s">
        <v>23</v>
      </c>
      <c r="U12" s="57" t="s">
        <v>23</v>
      </c>
      <c r="V12" s="55" t="s">
        <v>23</v>
      </c>
      <c r="W12" s="55" t="s">
        <v>23</v>
      </c>
      <c r="X12" s="55" t="s">
        <v>4</v>
      </c>
      <c r="Y12" s="55" t="s">
        <v>23</v>
      </c>
      <c r="Z12" s="55" t="s">
        <v>23</v>
      </c>
      <c r="AA12" s="57" t="s">
        <v>4</v>
      </c>
      <c r="AB12" s="57" t="s">
        <v>4</v>
      </c>
      <c r="AC12" s="55" t="s">
        <v>23</v>
      </c>
      <c r="AD12" s="55" t="s">
        <v>23</v>
      </c>
      <c r="AE12" s="55" t="s">
        <v>23</v>
      </c>
      <c r="AF12" s="55" t="s">
        <v>23</v>
      </c>
      <c r="AG12" s="21"/>
      <c r="AI12" s="14">
        <f>COUNTIF(ABRIL!C12:AG12,"M")+COUNTIF(ABRIL!C12:AG12,"T")+COUNTIF(ABRIL!C12:AG12,"N")</f>
        <v>19</v>
      </c>
      <c r="AJ12" s="14">
        <f>COUNTIF(ABRIL!C12:AG12,"D")+COUNTIF(ABRIL!C12:AG12,"DN")</f>
        <v>10</v>
      </c>
      <c r="AK12" s="14">
        <f>COUNTIF(ABRIL!C12:AG12,"A")</f>
        <v>1</v>
      </c>
      <c r="AL12" s="14">
        <f>COUNTIF(ABRIL!D12:AH12,"TR")</f>
        <v>0</v>
      </c>
      <c r="AM12" s="14">
        <f>COUNTIF(ABRIL!E12:AI12,"AV")</f>
        <v>0</v>
      </c>
      <c r="AN12" s="14">
        <f>COUNTIF(ABRIL!C12:AG12,"PF")</f>
        <v>0</v>
      </c>
      <c r="AO12" s="14">
        <f>COUNTIF(ABRIL!C12:AG12,"PS")</f>
        <v>0</v>
      </c>
      <c r="AP12" s="14">
        <f>COUNTIF(ABRIL!C12:AG12,"V")</f>
        <v>0</v>
      </c>
      <c r="AQ12" s="14">
        <f>COUNTIF(ABRIL!C12:AG12,"B")</f>
        <v>0</v>
      </c>
    </row>
    <row r="13" spans="1:43" s="14" customFormat="1" ht="22.5" customHeight="1">
      <c r="A13" s="60" t="s">
        <v>33</v>
      </c>
      <c r="B13" s="28" t="s">
        <v>17</v>
      </c>
      <c r="C13" s="49" t="s">
        <v>18</v>
      </c>
      <c r="D13" s="58" t="s">
        <v>18</v>
      </c>
      <c r="E13" s="34" t="s">
        <v>4</v>
      </c>
      <c r="F13" s="33" t="s">
        <v>18</v>
      </c>
      <c r="G13" s="33" t="s">
        <v>18</v>
      </c>
      <c r="H13" s="49" t="s">
        <v>4</v>
      </c>
      <c r="I13" s="49" t="s">
        <v>4</v>
      </c>
      <c r="J13" s="49" t="s">
        <v>18</v>
      </c>
      <c r="K13" s="49" t="s">
        <v>18</v>
      </c>
      <c r="L13" s="49" t="s">
        <v>18</v>
      </c>
      <c r="M13" s="50" t="s">
        <v>4</v>
      </c>
      <c r="N13" s="51" t="s">
        <v>4</v>
      </c>
      <c r="O13" s="49" t="s">
        <v>4</v>
      </c>
      <c r="P13" s="49" t="s">
        <v>18</v>
      </c>
      <c r="Q13" s="49" t="s">
        <v>18</v>
      </c>
      <c r="R13" s="49" t="s">
        <v>18</v>
      </c>
      <c r="S13" s="49" t="s">
        <v>4</v>
      </c>
      <c r="T13" s="50" t="s">
        <v>18</v>
      </c>
      <c r="U13" s="50" t="s">
        <v>18</v>
      </c>
      <c r="V13" s="49" t="s">
        <v>4</v>
      </c>
      <c r="W13" s="49" t="s">
        <v>18</v>
      </c>
      <c r="X13" s="49" t="s">
        <v>18</v>
      </c>
      <c r="Y13" s="49" t="s">
        <v>18</v>
      </c>
      <c r="Z13" s="49" t="s">
        <v>18</v>
      </c>
      <c r="AA13" s="51" t="s">
        <v>4</v>
      </c>
      <c r="AB13" s="51" t="s">
        <v>4</v>
      </c>
      <c r="AC13" s="49" t="s">
        <v>18</v>
      </c>
      <c r="AD13" s="49" t="s">
        <v>18</v>
      </c>
      <c r="AE13" s="49" t="s">
        <v>18</v>
      </c>
      <c r="AF13" s="49" t="s">
        <v>4</v>
      </c>
      <c r="AG13" s="21"/>
      <c r="AI13" s="14">
        <f>COUNTIF(ABRIL!C13:AG13,"M")+COUNTIF(ABRIL!C13:AG13,"T")+COUNTIF(ABRIL!C13:AG13,"N")</f>
        <v>0</v>
      </c>
      <c r="AJ13" s="14">
        <f>COUNTIF(ABRIL!C13:AG13,"D")+COUNTIF(ABRIL!C13:AG13,"DN")</f>
        <v>11</v>
      </c>
      <c r="AK13" s="14">
        <f>COUNTIF(ABRIL!C13:AG13,"A")</f>
        <v>0</v>
      </c>
      <c r="AL13" s="14">
        <f>COUNTIF(ABRIL!D13:AH13,"TR")</f>
        <v>0</v>
      </c>
      <c r="AM13" s="14">
        <f>COUNTIF(ABRIL!E13:AI13,"AV")</f>
        <v>0</v>
      </c>
      <c r="AN13" s="14">
        <f>COUNTIF(ABRIL!C13:AG13,"PF")</f>
        <v>0</v>
      </c>
      <c r="AO13" s="14">
        <f>COUNTIF(ABRIL!C13:AG13,"PS")</f>
        <v>0</v>
      </c>
      <c r="AP13" s="14">
        <f>COUNTIF(ABRIL!C13:AG13,"V")</f>
        <v>0</v>
      </c>
      <c r="AQ13" s="14">
        <f>COUNTIF(ABRIL!C13:AG13,"B")</f>
        <v>19</v>
      </c>
    </row>
    <row r="14" spans="1:43" s="14" customFormat="1" ht="22.5" customHeight="1">
      <c r="A14" s="60" t="s">
        <v>34</v>
      </c>
      <c r="B14" s="28" t="s">
        <v>20</v>
      </c>
      <c r="C14" s="55" t="s">
        <v>23</v>
      </c>
      <c r="D14" s="56" t="s">
        <v>4</v>
      </c>
      <c r="E14" s="56" t="s">
        <v>23</v>
      </c>
      <c r="F14" s="57" t="s">
        <v>4</v>
      </c>
      <c r="G14" s="57" t="s">
        <v>4</v>
      </c>
      <c r="H14" s="63" t="s">
        <v>24</v>
      </c>
      <c r="I14" s="55" t="s">
        <v>23</v>
      </c>
      <c r="J14" s="55" t="s">
        <v>23</v>
      </c>
      <c r="K14" s="55" t="s">
        <v>23</v>
      </c>
      <c r="L14" s="55" t="s">
        <v>4</v>
      </c>
      <c r="M14" s="57" t="s">
        <v>23</v>
      </c>
      <c r="N14" s="57" t="s">
        <v>23</v>
      </c>
      <c r="O14" s="55" t="s">
        <v>23</v>
      </c>
      <c r="P14" s="55" t="s">
        <v>23</v>
      </c>
      <c r="Q14" s="55" t="s">
        <v>4</v>
      </c>
      <c r="R14" s="55" t="s">
        <v>23</v>
      </c>
      <c r="S14" s="55" t="s">
        <v>23</v>
      </c>
      <c r="T14" s="57" t="s">
        <v>4</v>
      </c>
      <c r="U14" s="57" t="s">
        <v>4</v>
      </c>
      <c r="V14" s="55" t="s">
        <v>23</v>
      </c>
      <c r="W14" s="55" t="s">
        <v>4</v>
      </c>
      <c r="X14" s="55" t="s">
        <v>23</v>
      </c>
      <c r="Y14" s="55" t="s">
        <v>23</v>
      </c>
      <c r="Z14" s="55" t="s">
        <v>23</v>
      </c>
      <c r="AA14" s="57" t="s">
        <v>4</v>
      </c>
      <c r="AB14" s="57" t="s">
        <v>4</v>
      </c>
      <c r="AC14" s="55" t="s">
        <v>23</v>
      </c>
      <c r="AD14" s="55" t="s">
        <v>23</v>
      </c>
      <c r="AE14" s="55" t="s">
        <v>23</v>
      </c>
      <c r="AF14" s="55" t="s">
        <v>4</v>
      </c>
      <c r="AG14" s="22"/>
      <c r="AI14" s="14">
        <f>COUNTIF(ABRIL!C14:AG14,"M")+COUNTIF(ABRIL!C14:AG14,"T")+COUNTIF(ABRIL!C14:AG14,"N")</f>
        <v>18</v>
      </c>
      <c r="AJ14" s="14">
        <f>COUNTIF(ABRIL!C14:AG14,"D")+COUNTIF(ABRIL!C14:AG14,"DN")</f>
        <v>11</v>
      </c>
      <c r="AK14" s="14">
        <f>COUNTIF(ABRIL!C14:AG14,"A")</f>
        <v>1</v>
      </c>
      <c r="AL14" s="14">
        <f>COUNTIF(ABRIL!D14:AH14,"TR")</f>
        <v>0</v>
      </c>
      <c r="AM14" s="14">
        <f>COUNTIF(ABRIL!E14:AI14,"AV")</f>
        <v>0</v>
      </c>
      <c r="AN14" s="14">
        <f>COUNTIF(ABRIL!C14:AG14,"PF")</f>
        <v>0</v>
      </c>
      <c r="AO14" s="14">
        <f>COUNTIF(ABRIL!C14:AG14,"PS")</f>
        <v>0</v>
      </c>
      <c r="AP14" s="14">
        <f>COUNTIF(ABRIL!C14:AG14,"V")</f>
        <v>0</v>
      </c>
      <c r="AQ14" s="14">
        <f>COUNTIF(ABRIL!C14:AG14,"B")</f>
        <v>0</v>
      </c>
    </row>
    <row r="15" spans="1:43" s="14" customFormat="1" ht="22.5" customHeight="1">
      <c r="A15" s="60" t="s">
        <v>35</v>
      </c>
      <c r="B15" s="29" t="s">
        <v>20</v>
      </c>
      <c r="C15" s="49"/>
      <c r="D15" s="34"/>
      <c r="E15" s="34"/>
      <c r="F15" s="33"/>
      <c r="G15" s="33"/>
      <c r="H15" s="49"/>
      <c r="I15" s="49"/>
      <c r="J15" s="49" t="s">
        <v>21</v>
      </c>
      <c r="K15" s="49"/>
      <c r="L15" s="49"/>
      <c r="M15" s="33"/>
      <c r="N15" s="33"/>
      <c r="O15" s="49"/>
      <c r="P15" s="49"/>
      <c r="Q15" s="49"/>
      <c r="R15" s="49"/>
      <c r="S15" s="49"/>
      <c r="T15" s="33"/>
      <c r="U15" s="33"/>
      <c r="V15" s="49"/>
      <c r="W15" s="49"/>
      <c r="X15" s="49"/>
      <c r="Y15" s="49"/>
      <c r="Z15" s="49" t="s">
        <v>21</v>
      </c>
      <c r="AA15" s="33"/>
      <c r="AB15" s="33"/>
      <c r="AC15" s="49"/>
      <c r="AD15" s="49"/>
      <c r="AE15" s="49"/>
      <c r="AF15" s="49"/>
      <c r="AI15" s="14">
        <f>COUNTIF(ABRIL!C15:AG15,"M")+COUNTIF(ABRIL!C15:AG15,"T")+COUNTIF(ABRIL!C15:AG15,"N")</f>
        <v>2</v>
      </c>
      <c r="AJ15" s="14">
        <f>COUNTIF(ABRIL!C15:AG15,"D")+COUNTIF(ABRIL!C15:AG15,"DN")</f>
        <v>0</v>
      </c>
      <c r="AK15" s="14">
        <f>COUNTIF(ABRIL!C15:AG15,"A")</f>
        <v>0</v>
      </c>
      <c r="AL15" s="14">
        <f>COUNTIF(ABRIL!D15:AH15,"TR")</f>
        <v>0</v>
      </c>
      <c r="AM15" s="14">
        <f>COUNTIF(ABRIL!E15:AI15,"AV")</f>
        <v>0</v>
      </c>
      <c r="AN15" s="14">
        <f>COUNTIF(ABRIL!C15:AG15,"PF")</f>
        <v>0</v>
      </c>
      <c r="AO15" s="14">
        <f>COUNTIF(ABRIL!C15:AG15,"PS")</f>
        <v>0</v>
      </c>
      <c r="AP15" s="14">
        <f>COUNTIF(ABRIL!C15:AG15,"V")</f>
        <v>0</v>
      </c>
      <c r="AQ15" s="14">
        <f>COUNTIF(ABRIL!C15:AG15,"B")</f>
        <v>0</v>
      </c>
    </row>
    <row r="16" spans="1:43" s="14" customFormat="1" ht="22.5" customHeight="1">
      <c r="A16" s="60" t="s">
        <v>36</v>
      </c>
      <c r="B16" s="24" t="s">
        <v>20</v>
      </c>
      <c r="C16" s="49"/>
      <c r="D16" s="34"/>
      <c r="E16" s="34"/>
      <c r="F16" s="33"/>
      <c r="G16" s="33"/>
      <c r="H16" s="49"/>
      <c r="I16" s="49" t="s">
        <v>21</v>
      </c>
      <c r="J16" s="49"/>
      <c r="K16" s="49"/>
      <c r="L16" s="49"/>
      <c r="M16" s="33"/>
      <c r="N16" s="33"/>
      <c r="O16" s="49"/>
      <c r="P16" s="49"/>
      <c r="Q16" s="49"/>
      <c r="R16" s="49"/>
      <c r="S16" s="49"/>
      <c r="T16" s="33"/>
      <c r="U16" s="33"/>
      <c r="V16" s="49"/>
      <c r="W16" s="49"/>
      <c r="X16" s="49"/>
      <c r="Y16" s="49" t="s">
        <v>21</v>
      </c>
      <c r="Z16" s="49"/>
      <c r="AA16" s="33"/>
      <c r="AB16" s="33"/>
      <c r="AC16" s="49"/>
      <c r="AD16" s="49"/>
      <c r="AE16" s="49"/>
      <c r="AF16" s="49"/>
      <c r="AG16" s="21"/>
      <c r="AI16" s="14">
        <f>COUNTIF(ABRIL!C16:AG16,"M")+COUNTIF(ABRIL!C16:AG16,"T")+COUNTIF(ABRIL!C16:AG16,"N")</f>
        <v>2</v>
      </c>
      <c r="AJ16" s="14">
        <f>COUNTIF(ABRIL!C16:AG16,"D")+COUNTIF(ABRIL!C16:AG16,"DN")</f>
        <v>0</v>
      </c>
      <c r="AK16" s="14">
        <f>COUNTIF(ABRIL!C16:AG16,"A")</f>
        <v>0</v>
      </c>
      <c r="AL16" s="14">
        <f>COUNTIF(ABRIL!D16:AH16,"TR")</f>
        <v>0</v>
      </c>
      <c r="AM16" s="14">
        <f>COUNTIF(ABRIL!E16:AI16,"AV")</f>
        <v>0</v>
      </c>
      <c r="AN16" s="14">
        <f>COUNTIF(ABRIL!C16:AG16,"PF")</f>
        <v>0</v>
      </c>
      <c r="AO16" s="14">
        <f>COUNTIF(ABRIL!C16:AG16,"PS")</f>
        <v>0</v>
      </c>
      <c r="AP16" s="14">
        <f>COUNTIF(ABRIL!C16:AG16,"V")</f>
        <v>0</v>
      </c>
      <c r="AQ16" s="14">
        <f>COUNTIF(ABRIL!C16:AG16,"B")</f>
        <v>0</v>
      </c>
    </row>
    <row r="17" spans="1:43" ht="22.5" customHeight="1">
      <c r="A17" s="67" t="s">
        <v>37</v>
      </c>
      <c r="B17" s="30" t="s">
        <v>20</v>
      </c>
      <c r="C17" s="49"/>
      <c r="D17" s="34"/>
      <c r="E17" s="34"/>
      <c r="F17" s="33"/>
      <c r="G17" s="33" t="s">
        <v>21</v>
      </c>
      <c r="H17" s="49"/>
      <c r="I17" s="49"/>
      <c r="J17" s="49"/>
      <c r="K17" s="49"/>
      <c r="L17" s="49"/>
      <c r="M17" s="33"/>
      <c r="N17" s="33"/>
      <c r="O17" s="49"/>
      <c r="P17" s="49"/>
      <c r="Q17" s="49"/>
      <c r="R17" s="49"/>
      <c r="S17" s="49"/>
      <c r="T17" s="33"/>
      <c r="U17" s="33"/>
      <c r="V17" s="49"/>
      <c r="W17" s="49"/>
      <c r="X17" s="49"/>
      <c r="Y17" s="49"/>
      <c r="Z17" s="49"/>
      <c r="AA17" s="33"/>
      <c r="AB17" s="33"/>
      <c r="AC17" s="49"/>
      <c r="AD17" s="49"/>
      <c r="AE17" s="49"/>
      <c r="AF17" s="49"/>
      <c r="AG17" s="14"/>
      <c r="AI17" s="14">
        <f>COUNTIF(ABRIL!C17:AG17,"M")+COUNTIF(ABRIL!C17:AG17,"T")+COUNTIF(ABRIL!C17:AG17,"N")</f>
        <v>1</v>
      </c>
      <c r="AJ17" s="14">
        <f>COUNTIF(ABRIL!C17:AG17,"D")+COUNTIF(ABRIL!C17:AG17,"DN")</f>
        <v>0</v>
      </c>
      <c r="AK17" s="14">
        <f>COUNTIF(ABRIL!C17:AG17,"A")</f>
        <v>0</v>
      </c>
      <c r="AL17" s="14">
        <f>COUNTIF(ABRIL!D17:AH17,"TR")</f>
        <v>0</v>
      </c>
      <c r="AM17" s="14">
        <f>COUNTIF(ABRIL!E17:AI17,"AV")</f>
        <v>0</v>
      </c>
      <c r="AN17" s="14">
        <f>COUNTIF(ABRIL!C17:AG17,"PF")</f>
        <v>0</v>
      </c>
      <c r="AO17" s="14">
        <f>COUNTIF(ABRIL!C17:AG17,"PS")</f>
        <v>0</v>
      </c>
      <c r="AP17" s="14">
        <f>COUNTIF(ABRIL!C17:AG17,"V")</f>
        <v>0</v>
      </c>
      <c r="AQ17" s="14">
        <f>COUNTIF(ABRIL!C17:AG17,"B")</f>
        <v>0</v>
      </c>
    </row>
    <row r="18" spans="1:43" ht="22.5" customHeight="1">
      <c r="A18" s="65" t="s">
        <v>38</v>
      </c>
      <c r="B18" s="66" t="s">
        <v>20</v>
      </c>
      <c r="C18" s="49" t="s">
        <v>6</v>
      </c>
      <c r="D18" s="34" t="s">
        <v>6</v>
      </c>
      <c r="E18" s="34" t="s">
        <v>4</v>
      </c>
      <c r="F18" s="50" t="s">
        <v>4</v>
      </c>
      <c r="G18" s="51" t="s">
        <v>4</v>
      </c>
      <c r="H18" s="49" t="s">
        <v>4</v>
      </c>
      <c r="I18" s="49" t="s">
        <v>6</v>
      </c>
      <c r="J18" s="49" t="s">
        <v>6</v>
      </c>
      <c r="K18" s="49" t="s">
        <v>6</v>
      </c>
      <c r="L18" s="49" t="s">
        <v>4</v>
      </c>
      <c r="M18" s="50" t="s">
        <v>6</v>
      </c>
      <c r="N18" s="50" t="s">
        <v>6</v>
      </c>
      <c r="O18" s="49" t="s">
        <v>4</v>
      </c>
      <c r="P18" s="49" t="s">
        <v>6</v>
      </c>
      <c r="Q18" s="49" t="s">
        <v>6</v>
      </c>
      <c r="R18" s="49" t="s">
        <v>6</v>
      </c>
      <c r="S18" s="49" t="s">
        <v>6</v>
      </c>
      <c r="T18" s="51" t="s">
        <v>4</v>
      </c>
      <c r="U18" s="51" t="s">
        <v>4</v>
      </c>
      <c r="V18" s="49" t="s">
        <v>6</v>
      </c>
      <c r="W18" s="49" t="s">
        <v>6</v>
      </c>
      <c r="X18" s="49" t="s">
        <v>6</v>
      </c>
      <c r="Y18" s="49" t="s">
        <v>4</v>
      </c>
      <c r="Z18" s="49" t="s">
        <v>6</v>
      </c>
      <c r="AA18" s="33" t="s">
        <v>6</v>
      </c>
      <c r="AB18" s="33" t="s">
        <v>6</v>
      </c>
      <c r="AC18" s="49" t="s">
        <v>6</v>
      </c>
      <c r="AD18" s="49" t="s">
        <v>4</v>
      </c>
      <c r="AE18" s="49" t="s">
        <v>6</v>
      </c>
      <c r="AF18" s="49" t="s">
        <v>6</v>
      </c>
      <c r="AG18" s="14"/>
      <c r="AI18" s="14">
        <f>COUNTIF(ABRIL!C18:AG18,"M")+COUNTIF(ABRIL!C18:AG18,"T")+COUNTIF(ABRIL!C18:AG18,"N")</f>
        <v>20</v>
      </c>
      <c r="AJ18" s="14">
        <f>COUNTIF(ABRIL!C18:AG18,"D")+COUNTIF(ABRIL!C18:AG18,"DN")</f>
        <v>10</v>
      </c>
      <c r="AK18" s="14">
        <f>COUNTIF(ABRIL!C18:AG18,"A")</f>
        <v>0</v>
      </c>
      <c r="AL18" s="14">
        <f>COUNTIF(ABRIL!D18:AH18,"TR")</f>
        <v>0</v>
      </c>
      <c r="AM18" s="14">
        <f>COUNTIF(ABRIL!E18:AI18,"AV")</f>
        <v>0</v>
      </c>
      <c r="AN18" s="14">
        <f>COUNTIF(ABRIL!C18:AG18,"PF")</f>
        <v>0</v>
      </c>
      <c r="AO18" s="14">
        <f>COUNTIF(ABRIL!C18:AG18,"PS")</f>
        <v>0</v>
      </c>
      <c r="AP18" s="14">
        <f>COUNTIF(ABRIL!C18:AG18,"V")</f>
        <v>0</v>
      </c>
      <c r="AQ18" s="14">
        <f>COUNTIF(ABRIL!C18:AG18,"B")</f>
        <v>0</v>
      </c>
    </row>
    <row r="19" spans="1:43" ht="22.5" customHeight="1">
      <c r="A19" s="68" t="s">
        <v>39</v>
      </c>
      <c r="B19" s="31" t="s">
        <v>20</v>
      </c>
      <c r="C19" s="49" t="s">
        <v>4</v>
      </c>
      <c r="D19" s="34" t="s">
        <v>4</v>
      </c>
      <c r="E19" s="34" t="s">
        <v>6</v>
      </c>
      <c r="F19" s="51" t="s">
        <v>4</v>
      </c>
      <c r="G19" s="51" t="s">
        <v>4</v>
      </c>
      <c r="H19" s="49" t="s">
        <v>6</v>
      </c>
      <c r="I19" s="49" t="s">
        <v>6</v>
      </c>
      <c r="J19" s="49" t="s">
        <v>6</v>
      </c>
      <c r="K19" s="49" t="s">
        <v>6</v>
      </c>
      <c r="L19" s="49" t="s">
        <v>4</v>
      </c>
      <c r="M19" s="33" t="s">
        <v>6</v>
      </c>
      <c r="N19" s="33" t="s">
        <v>6</v>
      </c>
      <c r="O19" s="49" t="s">
        <v>6</v>
      </c>
      <c r="P19" s="49" t="s">
        <v>6</v>
      </c>
      <c r="Q19" s="49" t="s">
        <v>4</v>
      </c>
      <c r="R19" s="49" t="s">
        <v>6</v>
      </c>
      <c r="S19" s="49" t="s">
        <v>6</v>
      </c>
      <c r="T19" s="50" t="s">
        <v>4</v>
      </c>
      <c r="U19" s="51" t="s">
        <v>4</v>
      </c>
      <c r="V19" s="49" t="s">
        <v>4</v>
      </c>
      <c r="W19" s="49" t="s">
        <v>6</v>
      </c>
      <c r="X19" s="49" t="s">
        <v>6</v>
      </c>
      <c r="Y19" s="49" t="s">
        <v>6</v>
      </c>
      <c r="Z19" s="49" t="s">
        <v>4</v>
      </c>
      <c r="AA19" s="50" t="s">
        <v>6</v>
      </c>
      <c r="AB19" s="50" t="s">
        <v>6</v>
      </c>
      <c r="AC19" s="49" t="s">
        <v>4</v>
      </c>
      <c r="AD19" s="49" t="s">
        <v>6</v>
      </c>
      <c r="AE19" s="49" t="s">
        <v>6</v>
      </c>
      <c r="AF19" s="49" t="s">
        <v>6</v>
      </c>
      <c r="AG19" s="14"/>
      <c r="AI19" s="14">
        <f>COUNTIF(ABRIL!C19:AG19,"M")+COUNTIF(ABRIL!C19:AG19,"T")+COUNTIF(ABRIL!C19:AG19,"N")</f>
        <v>19</v>
      </c>
      <c r="AJ19" s="14">
        <f>COUNTIF(ABRIL!C19:AG19,"D")+COUNTIF(ABRIL!C19:AG19,"DN")</f>
        <v>11</v>
      </c>
      <c r="AK19" s="14">
        <f>COUNTIF(ABRIL!C19:AG19,"A")</f>
        <v>0</v>
      </c>
      <c r="AL19" s="14">
        <f>COUNTIF(ABRIL!D19:AH19,"TR")</f>
        <v>0</v>
      </c>
      <c r="AM19" s="14">
        <f>COUNTIF(ABRIL!E19:AI19,"AV")</f>
        <v>0</v>
      </c>
      <c r="AN19" s="14">
        <f>COUNTIF(ABRIL!C19:AG19,"PF")</f>
        <v>0</v>
      </c>
      <c r="AO19" s="14">
        <f>COUNTIF(ABRIL!C19:AG19,"PS")</f>
        <v>0</v>
      </c>
      <c r="AP19" s="14">
        <f>COUNTIF(ABRIL!C19:AG19,"V")</f>
        <v>0</v>
      </c>
      <c r="AQ19" s="14">
        <f>COUNTIF(ABRIL!C19:AG19,"B")</f>
        <v>0</v>
      </c>
    </row>
    <row r="20" spans="1:43" ht="22.5" customHeight="1">
      <c r="A20" s="16" t="s">
        <v>40</v>
      </c>
      <c r="B20" s="31" t="s">
        <v>20</v>
      </c>
      <c r="C20" s="49" t="s">
        <v>6</v>
      </c>
      <c r="D20" s="58" t="s">
        <v>6</v>
      </c>
      <c r="E20" s="34" t="s">
        <v>4</v>
      </c>
      <c r="F20" s="33" t="s">
        <v>6</v>
      </c>
      <c r="G20" s="33" t="s">
        <v>6</v>
      </c>
      <c r="H20" s="49" t="s">
        <v>4</v>
      </c>
      <c r="I20" s="49" t="s">
        <v>4</v>
      </c>
      <c r="J20" s="49" t="s">
        <v>23</v>
      </c>
      <c r="K20" s="49" t="s">
        <v>25</v>
      </c>
      <c r="L20" s="49" t="s">
        <v>6</v>
      </c>
      <c r="M20" s="50" t="s">
        <v>4</v>
      </c>
      <c r="N20" s="51" t="s">
        <v>4</v>
      </c>
      <c r="O20" s="49" t="s">
        <v>4</v>
      </c>
      <c r="P20" s="49" t="s">
        <v>25</v>
      </c>
      <c r="Q20" s="49" t="s">
        <v>25</v>
      </c>
      <c r="R20" s="49" t="s">
        <v>23</v>
      </c>
      <c r="S20" s="49" t="s">
        <v>4</v>
      </c>
      <c r="T20" s="50" t="s">
        <v>23</v>
      </c>
      <c r="U20" s="50" t="s">
        <v>23</v>
      </c>
      <c r="V20" s="49" t="s">
        <v>4</v>
      </c>
      <c r="W20" s="49" t="s">
        <v>23</v>
      </c>
      <c r="X20" s="49" t="s">
        <v>23</v>
      </c>
      <c r="Y20" s="49" t="s">
        <v>23</v>
      </c>
      <c r="Z20" s="49" t="s">
        <v>23</v>
      </c>
      <c r="AA20" s="51" t="s">
        <v>4</v>
      </c>
      <c r="AB20" s="51" t="s">
        <v>4</v>
      </c>
      <c r="AC20" s="49" t="s">
        <v>23</v>
      </c>
      <c r="AD20" s="49" t="s">
        <v>23</v>
      </c>
      <c r="AE20" s="49" t="s">
        <v>23</v>
      </c>
      <c r="AF20" s="49" t="s">
        <v>4</v>
      </c>
      <c r="AG20" s="14"/>
      <c r="AI20" s="14">
        <f>COUNTIF(ABRIL!C20:AG20,"M")+COUNTIF(ABRIL!C20:AG20,"T")+COUNTIF(ABRIL!C20:AG20,"N")</f>
        <v>16</v>
      </c>
      <c r="AJ20" s="14">
        <f>COUNTIF(ABRIL!C20:AG20,"D")+COUNTIF(ABRIL!C20:AG20,"DN")</f>
        <v>11</v>
      </c>
      <c r="AK20" s="14">
        <f>COUNTIF(ABRIL!C20:AG20,"A")</f>
        <v>0</v>
      </c>
      <c r="AL20" s="14">
        <f>COUNTIF(ABRIL!D20:AH20,"TR")</f>
        <v>0</v>
      </c>
      <c r="AM20" s="14">
        <f>COUNTIF(ABRIL!E20:AI20,"AV")</f>
        <v>0</v>
      </c>
      <c r="AN20" s="14">
        <f>COUNTIF(ABRIL!C20:AG20,"PF")</f>
        <v>0</v>
      </c>
      <c r="AO20" s="14">
        <f>COUNTIF(ABRIL!C20:AG20,"PS")</f>
        <v>0</v>
      </c>
      <c r="AP20" s="14">
        <f>COUNTIF(ABRIL!C20:AG20,"V")</f>
        <v>0</v>
      </c>
      <c r="AQ20" s="14">
        <f>COUNTIF(ABRIL!C20:AG20,"B")</f>
        <v>0</v>
      </c>
    </row>
    <row r="21" spans="1:43" ht="22.5" customHeight="1">
      <c r="A21" s="16" t="s">
        <v>41</v>
      </c>
      <c r="B21" s="31" t="s">
        <v>20</v>
      </c>
      <c r="C21" s="49"/>
      <c r="D21" s="58"/>
      <c r="E21" s="34"/>
      <c r="F21" s="33"/>
      <c r="G21" s="33"/>
      <c r="H21" s="49" t="s">
        <v>23</v>
      </c>
      <c r="I21" s="49"/>
      <c r="J21" s="49" t="s">
        <v>23</v>
      </c>
      <c r="K21" s="49"/>
      <c r="L21" s="49"/>
      <c r="M21" s="50"/>
      <c r="N21" s="51"/>
      <c r="O21" s="49"/>
      <c r="P21" s="49"/>
      <c r="Q21" s="49"/>
      <c r="R21" s="49"/>
      <c r="S21" s="49"/>
      <c r="T21" s="50"/>
      <c r="U21" s="50"/>
      <c r="V21" s="49"/>
      <c r="W21" s="49"/>
      <c r="X21" s="49"/>
      <c r="Y21" s="49"/>
      <c r="Z21" s="49"/>
      <c r="AA21" s="51"/>
      <c r="AB21" s="51"/>
      <c r="AC21" s="49"/>
      <c r="AD21" s="49"/>
      <c r="AE21" s="49"/>
      <c r="AF21" s="49"/>
      <c r="AG21" s="14"/>
    </row>
    <row r="22" spans="1:43" ht="22.5" customHeight="1">
      <c r="A22" s="16" t="s">
        <v>42</v>
      </c>
      <c r="B22" s="32" t="s">
        <v>20</v>
      </c>
      <c r="C22" s="41"/>
      <c r="D22" s="27"/>
      <c r="E22" s="27" t="s">
        <v>6</v>
      </c>
      <c r="F22" s="19"/>
      <c r="G22" s="19"/>
      <c r="H22" s="41"/>
      <c r="I22" s="41"/>
      <c r="J22" s="41"/>
      <c r="K22" s="41"/>
      <c r="L22" s="41"/>
      <c r="M22" s="19"/>
      <c r="N22" s="19"/>
      <c r="O22" s="41"/>
      <c r="P22" s="41"/>
      <c r="Q22" s="41"/>
      <c r="R22" s="41"/>
      <c r="S22" s="41"/>
      <c r="T22" s="19"/>
      <c r="U22" s="19"/>
      <c r="V22" s="41"/>
      <c r="W22" s="41"/>
      <c r="X22" s="41"/>
      <c r="Y22" s="41"/>
      <c r="Z22" s="41"/>
      <c r="AA22" s="19"/>
      <c r="AB22" s="19"/>
      <c r="AC22" s="41"/>
      <c r="AD22" s="41"/>
      <c r="AE22" s="41"/>
      <c r="AF22" s="41"/>
      <c r="AG22" s="14"/>
    </row>
    <row r="23" spans="1:43" ht="22.5" customHeight="1">
      <c r="A23" s="16"/>
      <c r="B23" s="31"/>
      <c r="C23" s="41"/>
      <c r="D23" s="27"/>
      <c r="E23" s="27"/>
      <c r="F23" s="19"/>
      <c r="G23" s="19"/>
      <c r="H23" s="41"/>
      <c r="I23" s="41"/>
      <c r="J23" s="41"/>
      <c r="K23" s="41"/>
      <c r="L23" s="41"/>
      <c r="M23" s="19"/>
      <c r="N23" s="19"/>
      <c r="O23" s="41"/>
      <c r="P23" s="41"/>
      <c r="Q23" s="41"/>
      <c r="R23" s="41"/>
      <c r="S23" s="41"/>
      <c r="T23" s="19"/>
      <c r="U23" s="19"/>
      <c r="V23" s="41"/>
      <c r="W23" s="41"/>
      <c r="X23" s="41"/>
      <c r="Y23" s="41"/>
      <c r="Z23" s="41"/>
      <c r="AA23" s="19"/>
      <c r="AB23" s="19"/>
      <c r="AC23" s="41"/>
      <c r="AD23" s="41"/>
      <c r="AE23" s="41"/>
      <c r="AF23" s="41"/>
      <c r="AG23" s="14"/>
    </row>
    <row r="24" spans="1:43" ht="22.5" customHeight="1">
      <c r="A24" s="16"/>
      <c r="B24" s="31"/>
      <c r="C24" s="41"/>
      <c r="D24" s="27"/>
      <c r="E24" s="27"/>
      <c r="F24" s="19"/>
      <c r="G24" s="19"/>
      <c r="H24" s="41"/>
      <c r="I24" s="41"/>
      <c r="J24" s="41"/>
      <c r="K24" s="41"/>
      <c r="L24" s="41"/>
      <c r="M24" s="19"/>
      <c r="N24" s="19"/>
      <c r="O24" s="41"/>
      <c r="P24" s="41"/>
      <c r="Q24" s="41"/>
      <c r="R24" s="41"/>
      <c r="S24" s="41"/>
      <c r="T24" s="19"/>
      <c r="U24" s="19"/>
      <c r="V24" s="41"/>
      <c r="W24" s="41"/>
      <c r="X24" s="41"/>
      <c r="Y24" s="41"/>
      <c r="Z24" s="41"/>
      <c r="AA24" s="19"/>
      <c r="AB24" s="19"/>
      <c r="AC24" s="41"/>
      <c r="AD24" s="41"/>
      <c r="AE24" s="41"/>
      <c r="AF24" s="41"/>
      <c r="AG24" s="14"/>
    </row>
    <row r="25" spans="1:43" ht="22.5" customHeight="1">
      <c r="A25" s="16"/>
      <c r="B25" s="31"/>
      <c r="C25" s="41"/>
      <c r="D25" s="27"/>
      <c r="E25" s="27"/>
      <c r="F25" s="19"/>
      <c r="G25" s="19"/>
      <c r="H25" s="41"/>
      <c r="I25" s="41"/>
      <c r="J25" s="41"/>
      <c r="K25" s="41"/>
      <c r="L25" s="41"/>
      <c r="M25" s="19"/>
      <c r="N25" s="19"/>
      <c r="O25" s="41"/>
      <c r="P25" s="41"/>
      <c r="Q25" s="41"/>
      <c r="R25" s="41"/>
      <c r="S25" s="41"/>
      <c r="T25" s="19"/>
      <c r="U25" s="19"/>
      <c r="V25" s="41"/>
      <c r="W25" s="41"/>
      <c r="X25" s="41"/>
      <c r="Y25" s="41"/>
      <c r="Z25" s="41"/>
      <c r="AA25" s="19"/>
      <c r="AB25" s="19"/>
      <c r="AC25" s="41"/>
      <c r="AD25" s="41"/>
      <c r="AE25" s="41"/>
      <c r="AF25" s="41"/>
      <c r="AG25" s="14"/>
    </row>
    <row r="26" spans="1:43" ht="22.5" customHeight="1">
      <c r="A26" s="16"/>
      <c r="B26" s="31"/>
      <c r="C26" s="41"/>
      <c r="D26" s="27"/>
      <c r="E26" s="27"/>
      <c r="F26" s="19"/>
      <c r="G26" s="19"/>
      <c r="H26" s="41"/>
      <c r="I26" s="41"/>
      <c r="J26" s="41"/>
      <c r="K26" s="41"/>
      <c r="L26" s="41"/>
      <c r="M26" s="19"/>
      <c r="N26" s="19"/>
      <c r="O26" s="41"/>
      <c r="P26" s="41"/>
      <c r="Q26" s="41"/>
      <c r="R26" s="41"/>
      <c r="S26" s="41"/>
      <c r="T26" s="19"/>
      <c r="U26" s="19"/>
      <c r="V26" s="41"/>
      <c r="W26" s="41"/>
      <c r="X26" s="41"/>
      <c r="Y26" s="41"/>
      <c r="Z26" s="41"/>
      <c r="AA26" s="19"/>
      <c r="AB26" s="19"/>
      <c r="AC26" s="41"/>
      <c r="AD26" s="41"/>
      <c r="AE26" s="41"/>
      <c r="AF26" s="41"/>
      <c r="AG26" s="14"/>
    </row>
    <row r="27" spans="1:43" ht="22.5" customHeight="1">
      <c r="A27" s="16"/>
      <c r="B27" s="16"/>
      <c r="C27" s="41"/>
      <c r="D27" s="27"/>
      <c r="E27" s="27"/>
      <c r="F27" s="19"/>
      <c r="G27" s="19"/>
      <c r="H27" s="44"/>
      <c r="I27" s="41"/>
      <c r="J27" s="41"/>
      <c r="K27" s="41"/>
      <c r="L27" s="41"/>
      <c r="M27" s="19"/>
      <c r="N27" s="19"/>
      <c r="O27" s="41"/>
      <c r="P27" s="41"/>
      <c r="Q27" s="41"/>
      <c r="R27" s="41"/>
      <c r="S27" s="41"/>
      <c r="T27" s="19"/>
      <c r="U27" s="26"/>
      <c r="V27" s="44"/>
      <c r="W27" s="41"/>
      <c r="X27" s="41"/>
      <c r="Y27" s="41"/>
      <c r="Z27" s="41"/>
      <c r="AA27" s="19"/>
      <c r="AB27" s="19"/>
      <c r="AC27" s="44"/>
      <c r="AD27" s="41"/>
      <c r="AE27" s="41"/>
      <c r="AF27" s="41"/>
      <c r="AG27" s="14"/>
    </row>
    <row r="28" spans="1:43" ht="22.5" customHeight="1">
      <c r="A28" s="16"/>
      <c r="B28" s="16"/>
      <c r="C28" s="41"/>
      <c r="D28" s="27"/>
      <c r="E28" s="27"/>
      <c r="F28" s="19"/>
      <c r="G28" s="19"/>
      <c r="H28" s="44"/>
      <c r="I28" s="41"/>
      <c r="J28" s="41"/>
      <c r="K28" s="41"/>
      <c r="L28" s="41"/>
      <c r="M28" s="19"/>
      <c r="N28" s="19"/>
      <c r="O28" s="41"/>
      <c r="P28" s="41"/>
      <c r="Q28" s="41"/>
      <c r="R28" s="41"/>
      <c r="S28" s="41"/>
      <c r="T28" s="19"/>
      <c r="U28" s="26"/>
      <c r="V28" s="44"/>
      <c r="W28" s="41"/>
      <c r="X28" s="41"/>
      <c r="Y28" s="41"/>
      <c r="Z28" s="41"/>
      <c r="AA28" s="19"/>
      <c r="AB28" s="19"/>
      <c r="AC28" s="44"/>
      <c r="AD28" s="41"/>
      <c r="AE28" s="41"/>
      <c r="AF28" s="41"/>
      <c r="AG28" s="14"/>
    </row>
    <row r="29" spans="1:43" ht="22.5" customHeight="1">
      <c r="A29" s="16"/>
      <c r="B29" s="16"/>
      <c r="C29" s="41"/>
      <c r="D29" s="27"/>
      <c r="E29" s="27"/>
      <c r="F29" s="19"/>
      <c r="G29" s="19"/>
      <c r="H29" s="41"/>
      <c r="I29" s="41"/>
      <c r="J29" s="41"/>
      <c r="K29" s="41"/>
      <c r="L29" s="41"/>
      <c r="M29" s="19"/>
      <c r="N29" s="19"/>
      <c r="O29" s="41"/>
      <c r="P29" s="41"/>
      <c r="Q29" s="41"/>
      <c r="R29" s="41"/>
      <c r="S29" s="41"/>
      <c r="T29" s="19"/>
      <c r="U29" s="19"/>
      <c r="V29" s="41"/>
      <c r="W29" s="41"/>
      <c r="X29" s="41"/>
      <c r="Y29" s="41"/>
      <c r="Z29" s="41"/>
      <c r="AA29" s="19"/>
      <c r="AB29" s="19"/>
      <c r="AC29" s="41"/>
      <c r="AD29" s="41"/>
      <c r="AE29" s="41"/>
      <c r="AF29" s="41"/>
      <c r="AG29" s="14"/>
    </row>
    <row r="30" spans="1:43">
      <c r="AG30" s="17"/>
    </row>
    <row r="31" spans="1:43">
      <c r="AG31" s="17"/>
    </row>
    <row r="32" spans="1:43">
      <c r="AG32" s="17"/>
    </row>
    <row r="33" spans="33:33">
      <c r="AG33" s="17"/>
    </row>
    <row r="34" spans="33:33">
      <c r="AG34" s="17"/>
    </row>
    <row r="35" spans="33:33">
      <c r="AG35" s="17"/>
    </row>
    <row r="36" spans="33:33">
      <c r="AG36" s="17"/>
    </row>
    <row r="37" spans="33:33">
      <c r="AG37" s="17"/>
    </row>
    <row r="38" spans="33:33">
      <c r="AG38" s="17"/>
    </row>
    <row r="39" spans="33:33">
      <c r="AG39" s="17"/>
    </row>
    <row r="40" spans="33:33">
      <c r="AG40" s="17"/>
    </row>
    <row r="41" spans="33:33">
      <c r="AG41" s="17"/>
    </row>
    <row r="42" spans="33:33">
      <c r="AG42" s="17"/>
    </row>
    <row r="43" spans="33:33">
      <c r="AG43" s="17"/>
    </row>
    <row r="44" spans="33:33">
      <c r="AG44" s="17"/>
    </row>
    <row r="45" spans="33:33">
      <c r="AG45" s="17"/>
    </row>
    <row r="46" spans="33:33">
      <c r="AG46" s="17"/>
    </row>
    <row r="47" spans="33:33">
      <c r="AG47" s="17"/>
    </row>
    <row r="48" spans="33:33">
      <c r="AG48" s="17"/>
    </row>
    <row r="49" spans="33:33">
      <c r="AG49" s="17"/>
    </row>
    <row r="50" spans="33:33">
      <c r="AG50" s="17"/>
    </row>
    <row r="51" spans="33:33">
      <c r="AG51" s="17"/>
    </row>
    <row r="52" spans="33:33">
      <c r="AG52" s="17"/>
    </row>
    <row r="53" spans="33:33">
      <c r="AG53" s="17"/>
    </row>
    <row r="54" spans="33:33">
      <c r="AG54" s="17"/>
    </row>
    <row r="55" spans="33:33">
      <c r="AG55" s="17"/>
    </row>
    <row r="56" spans="33:33">
      <c r="AG56" s="17"/>
    </row>
    <row r="57" spans="33:33">
      <c r="AG57" s="17"/>
    </row>
    <row r="58" spans="33:33">
      <c r="AG58" s="17"/>
    </row>
    <row r="59" spans="33:33">
      <c r="AG59" s="17"/>
    </row>
    <row r="60" spans="33:33">
      <c r="AG60" s="17"/>
    </row>
    <row r="61" spans="33:33">
      <c r="AG61" s="17"/>
    </row>
    <row r="62" spans="33:33">
      <c r="AG62" s="17"/>
    </row>
    <row r="63" spans="33:33">
      <c r="AG63" s="17"/>
    </row>
    <row r="64" spans="33:33">
      <c r="AG64" s="17"/>
    </row>
    <row r="65" spans="33:33">
      <c r="AG65" s="17"/>
    </row>
    <row r="66" spans="33:33">
      <c r="AG66" s="17"/>
    </row>
    <row r="67" spans="33:33">
      <c r="AG67" s="17"/>
    </row>
    <row r="68" spans="33:33">
      <c r="AG68" s="17"/>
    </row>
    <row r="69" spans="33:33">
      <c r="AG69" s="17"/>
    </row>
    <row r="70" spans="33:33">
      <c r="AG70" s="17"/>
    </row>
    <row r="71" spans="33:33">
      <c r="AG71" s="17"/>
    </row>
    <row r="72" spans="33:33">
      <c r="AG72" s="17"/>
    </row>
    <row r="73" spans="33:33">
      <c r="AG73" s="17"/>
    </row>
    <row r="74" spans="33:33">
      <c r="AG74" s="17"/>
    </row>
    <row r="75" spans="33:33">
      <c r="AG75" s="17"/>
    </row>
    <row r="76" spans="33:33">
      <c r="AG76" s="17"/>
    </row>
    <row r="77" spans="33:33">
      <c r="AG77" s="17"/>
    </row>
    <row r="78" spans="33:33">
      <c r="AG78" s="17"/>
    </row>
    <row r="79" spans="33:33">
      <c r="AG79" s="17"/>
    </row>
    <row r="80" spans="33:33">
      <c r="AG80" s="17"/>
    </row>
    <row r="81" spans="33:33">
      <c r="AG81" s="17"/>
    </row>
    <row r="82" spans="33:33">
      <c r="AG82" s="17"/>
    </row>
    <row r="83" spans="33:33">
      <c r="AG83" s="17"/>
    </row>
    <row r="84" spans="33:33">
      <c r="AG84" s="17"/>
    </row>
    <row r="85" spans="33:33">
      <c r="AG85" s="17"/>
    </row>
    <row r="86" spans="33:33">
      <c r="AG86" s="17"/>
    </row>
    <row r="87" spans="33:33">
      <c r="AG87" s="17"/>
    </row>
    <row r="88" spans="33:33">
      <c r="AG88" s="17"/>
    </row>
    <row r="89" spans="33:33">
      <c r="AG89" s="17"/>
    </row>
    <row r="90" spans="33:33">
      <c r="AG90" s="17"/>
    </row>
    <row r="91" spans="33:33">
      <c r="AG91" s="17"/>
    </row>
    <row r="92" spans="33:33">
      <c r="AG92" s="17"/>
    </row>
    <row r="93" spans="33:33">
      <c r="AG93" s="17"/>
    </row>
    <row r="94" spans="33:33">
      <c r="AG94" s="17"/>
    </row>
    <row r="95" spans="33:33">
      <c r="AG95" s="17"/>
    </row>
    <row r="96" spans="33:33">
      <c r="AG96" s="17"/>
    </row>
    <row r="97" spans="33:33">
      <c r="AG97" s="17"/>
    </row>
    <row r="98" spans="33:33">
      <c r="AG98" s="17"/>
    </row>
    <row r="99" spans="33:33">
      <c r="AG99" s="17"/>
    </row>
    <row r="100" spans="33:33">
      <c r="AG100" s="17"/>
    </row>
    <row r="101" spans="33:33">
      <c r="AG101" s="17"/>
    </row>
    <row r="102" spans="33:33">
      <c r="AG102" s="17"/>
    </row>
    <row r="103" spans="33:33">
      <c r="AG103" s="17"/>
    </row>
    <row r="104" spans="33:33">
      <c r="AG104" s="17"/>
    </row>
    <row r="105" spans="33:33">
      <c r="AG105" s="17"/>
    </row>
    <row r="106" spans="33:33">
      <c r="AG106" s="17"/>
    </row>
    <row r="107" spans="33:33">
      <c r="AG107" s="17"/>
    </row>
    <row r="108" spans="33:33">
      <c r="AG108" s="17"/>
    </row>
    <row r="109" spans="33:33">
      <c r="AG109" s="17"/>
    </row>
    <row r="110" spans="33:33">
      <c r="AG110" s="17"/>
    </row>
    <row r="111" spans="33:33">
      <c r="AG111" s="17"/>
    </row>
    <row r="112" spans="33:33">
      <c r="AG112" s="17"/>
    </row>
    <row r="113" spans="33:33">
      <c r="AG113" s="17"/>
    </row>
    <row r="114" spans="33:33">
      <c r="AG114" s="17"/>
    </row>
    <row r="115" spans="33:33">
      <c r="AG115" s="17"/>
    </row>
    <row r="116" spans="33:33">
      <c r="AG116" s="17"/>
    </row>
    <row r="117" spans="33:33">
      <c r="AG117" s="17"/>
    </row>
    <row r="118" spans="33:33">
      <c r="AG118" s="17"/>
    </row>
    <row r="119" spans="33:33">
      <c r="AG119" s="17"/>
    </row>
    <row r="120" spans="33:33">
      <c r="AG120" s="17"/>
    </row>
    <row r="121" spans="33:33">
      <c r="AG121" s="17"/>
    </row>
    <row r="122" spans="33:33">
      <c r="AG122" s="17"/>
    </row>
    <row r="123" spans="33:33">
      <c r="AG123" s="17"/>
    </row>
    <row r="124" spans="33:33">
      <c r="AG124" s="17"/>
    </row>
    <row r="125" spans="33:33">
      <c r="AG125" s="17"/>
    </row>
    <row r="126" spans="33:33">
      <c r="AG126" s="17"/>
    </row>
    <row r="127" spans="33:33">
      <c r="AG127" s="17"/>
    </row>
    <row r="128" spans="33:33">
      <c r="AG128" s="17"/>
    </row>
    <row r="129" spans="33:33">
      <c r="AG129" s="17"/>
    </row>
    <row r="130" spans="33:33">
      <c r="AG130" s="17"/>
    </row>
    <row r="131" spans="33:33">
      <c r="AG131" s="17"/>
    </row>
    <row r="132" spans="33:33">
      <c r="AG132" s="17"/>
    </row>
    <row r="133" spans="33:33">
      <c r="AG133" s="17"/>
    </row>
    <row r="134" spans="33:33">
      <c r="AG134" s="17"/>
    </row>
    <row r="135" spans="33:33">
      <c r="AG135" s="17"/>
    </row>
    <row r="136" spans="33:33">
      <c r="AG136" s="17"/>
    </row>
    <row r="137" spans="33:33">
      <c r="AG137" s="17"/>
    </row>
    <row r="138" spans="33:33">
      <c r="AG138" s="17"/>
    </row>
    <row r="139" spans="33:33">
      <c r="AG139" s="17"/>
    </row>
    <row r="140" spans="33:33">
      <c r="AG140" s="17"/>
    </row>
    <row r="141" spans="33:33">
      <c r="AG141" s="17"/>
    </row>
    <row r="142" spans="33:33">
      <c r="AG142" s="17"/>
    </row>
    <row r="143" spans="33:33">
      <c r="AG143" s="17"/>
    </row>
    <row r="144" spans="33:33">
      <c r="AG144" s="17"/>
    </row>
    <row r="145" spans="33:33">
      <c r="AG145" s="17"/>
    </row>
    <row r="146" spans="33:33">
      <c r="AG146" s="17"/>
    </row>
    <row r="147" spans="33:33">
      <c r="AG147" s="17"/>
    </row>
    <row r="148" spans="33:33">
      <c r="AG148" s="17"/>
    </row>
    <row r="149" spans="33:33">
      <c r="AG149" s="17"/>
    </row>
    <row r="150" spans="33:33">
      <c r="AG150" s="17"/>
    </row>
    <row r="151" spans="33:33">
      <c r="AG151" s="17"/>
    </row>
    <row r="152" spans="33:33">
      <c r="AG152" s="17"/>
    </row>
    <row r="153" spans="33:33">
      <c r="AG153" s="17"/>
    </row>
    <row r="154" spans="33:33">
      <c r="AG154" s="17"/>
    </row>
    <row r="155" spans="33:33">
      <c r="AG155" s="17"/>
    </row>
    <row r="156" spans="33:33">
      <c r="AG156" s="17"/>
    </row>
    <row r="157" spans="33:33">
      <c r="AG157" s="17"/>
    </row>
    <row r="158" spans="33:33">
      <c r="AG158" s="17"/>
    </row>
    <row r="159" spans="33:33">
      <c r="AG159" s="17"/>
    </row>
    <row r="160" spans="33:33">
      <c r="AG160" s="17"/>
    </row>
    <row r="161" spans="33:33">
      <c r="AG161" s="17"/>
    </row>
    <row r="162" spans="33:33">
      <c r="AG162" s="17"/>
    </row>
    <row r="163" spans="33:33">
      <c r="AG163" s="17"/>
    </row>
    <row r="164" spans="33:33">
      <c r="AG164" s="17"/>
    </row>
    <row r="165" spans="33:33">
      <c r="AG165" s="17"/>
    </row>
    <row r="166" spans="33:33">
      <c r="AG166" s="17"/>
    </row>
    <row r="167" spans="33:33">
      <c r="AG167" s="17"/>
    </row>
    <row r="168" spans="33:33">
      <c r="AG168" s="17"/>
    </row>
    <row r="169" spans="33:33">
      <c r="AG169" s="17"/>
    </row>
    <row r="170" spans="33:33">
      <c r="AG170" s="17"/>
    </row>
    <row r="171" spans="33:33">
      <c r="AG171" s="17"/>
    </row>
    <row r="172" spans="33:33">
      <c r="AG172" s="17"/>
    </row>
    <row r="173" spans="33:33">
      <c r="AG173" s="17"/>
    </row>
    <row r="174" spans="33:33">
      <c r="AG174" s="17"/>
    </row>
    <row r="175" spans="33:33">
      <c r="AG175" s="17"/>
    </row>
    <row r="176" spans="33:33">
      <c r="AG176" s="17"/>
    </row>
    <row r="177" spans="33:33">
      <c r="AG177" s="17"/>
    </row>
    <row r="178" spans="33:33">
      <c r="AG178" s="17"/>
    </row>
    <row r="179" spans="33:33">
      <c r="AG179" s="17"/>
    </row>
    <row r="180" spans="33:33">
      <c r="AG180" s="17"/>
    </row>
    <row r="181" spans="33:33">
      <c r="AG181" s="17"/>
    </row>
    <row r="182" spans="33:33">
      <c r="AG182" s="17"/>
    </row>
    <row r="183" spans="33:33">
      <c r="AG183" s="17"/>
    </row>
    <row r="184" spans="33:33">
      <c r="AG184" s="17"/>
    </row>
    <row r="185" spans="33:33">
      <c r="AG185" s="17"/>
    </row>
    <row r="186" spans="33:33">
      <c r="AG186" s="17"/>
    </row>
    <row r="187" spans="33:33">
      <c r="AG187" s="17"/>
    </row>
    <row r="188" spans="33:33">
      <c r="AG188" s="17"/>
    </row>
    <row r="189" spans="33:33">
      <c r="AG189" s="17"/>
    </row>
    <row r="190" spans="33:33">
      <c r="AG190" s="17"/>
    </row>
    <row r="191" spans="33:33">
      <c r="AG191" s="17"/>
    </row>
    <row r="192" spans="33:33">
      <c r="AG192" s="17"/>
    </row>
    <row r="193" spans="33:33">
      <c r="AG193" s="17"/>
    </row>
    <row r="194" spans="33:33">
      <c r="AG194" s="17"/>
    </row>
    <row r="195" spans="33:33">
      <c r="AG195" s="17"/>
    </row>
    <row r="196" spans="33:33">
      <c r="AG196" s="17"/>
    </row>
    <row r="197" spans="33:33">
      <c r="AG197" s="17"/>
    </row>
    <row r="198" spans="33:33">
      <c r="AG198" s="17"/>
    </row>
    <row r="199" spans="33:33">
      <c r="AG199" s="17"/>
    </row>
    <row r="200" spans="33:33">
      <c r="AG200" s="17"/>
    </row>
    <row r="201" spans="33:33">
      <c r="AG201" s="17"/>
    </row>
    <row r="202" spans="33:33">
      <c r="AG202" s="17"/>
    </row>
    <row r="203" spans="33:33">
      <c r="AG203" s="17"/>
    </row>
    <row r="204" spans="33:33">
      <c r="AG204" s="17"/>
    </row>
    <row r="205" spans="33:33">
      <c r="AG205" s="17"/>
    </row>
    <row r="206" spans="33:33">
      <c r="AG206" s="17"/>
    </row>
    <row r="207" spans="33:33">
      <c r="AG207" s="17"/>
    </row>
    <row r="208" spans="33:33">
      <c r="AG208" s="17"/>
    </row>
    <row r="209" spans="33:33">
      <c r="AG209" s="17"/>
    </row>
    <row r="210" spans="33:33">
      <c r="AG210" s="17"/>
    </row>
    <row r="211" spans="33:33">
      <c r="AG211" s="17"/>
    </row>
    <row r="212" spans="33:33">
      <c r="AG212" s="17"/>
    </row>
    <row r="213" spans="33:33">
      <c r="AG213" s="17"/>
    </row>
    <row r="214" spans="33:33">
      <c r="AG214" s="17"/>
    </row>
    <row r="215" spans="33:33">
      <c r="AG215" s="17"/>
    </row>
    <row r="216" spans="33:33">
      <c r="AG216" s="17"/>
    </row>
    <row r="217" spans="33:33">
      <c r="AG217" s="17"/>
    </row>
    <row r="218" spans="33:33">
      <c r="AG218" s="17"/>
    </row>
    <row r="219" spans="33:33">
      <c r="AG219" s="17"/>
    </row>
    <row r="220" spans="33:33">
      <c r="AG220" s="17"/>
    </row>
    <row r="221" spans="33:33">
      <c r="AG221" s="17"/>
    </row>
    <row r="222" spans="33:33">
      <c r="AG222" s="17"/>
    </row>
    <row r="223" spans="33:33">
      <c r="AG223" s="17"/>
    </row>
    <row r="224" spans="33:33">
      <c r="AG224" s="17"/>
    </row>
    <row r="225" spans="33:33">
      <c r="AG225" s="17"/>
    </row>
    <row r="226" spans="33:33">
      <c r="AG226" s="17"/>
    </row>
    <row r="227" spans="33:33">
      <c r="AG227" s="17"/>
    </row>
    <row r="228" spans="33:33">
      <c r="AG228" s="17"/>
    </row>
    <row r="229" spans="33:33">
      <c r="AG229" s="17"/>
    </row>
    <row r="230" spans="33:33">
      <c r="AG230" s="17"/>
    </row>
    <row r="231" spans="33:33">
      <c r="AG231" s="17"/>
    </row>
    <row r="232" spans="33:33">
      <c r="AG232" s="17"/>
    </row>
    <row r="233" spans="33:33">
      <c r="AG233" s="17"/>
    </row>
    <row r="234" spans="33:33">
      <c r="AG234" s="17"/>
    </row>
    <row r="235" spans="33:33">
      <c r="AG235" s="17"/>
    </row>
    <row r="236" spans="33:33">
      <c r="AG236" s="17"/>
    </row>
    <row r="237" spans="33:33">
      <c r="AG237" s="17"/>
    </row>
    <row r="238" spans="33:33">
      <c r="AG238" s="17"/>
    </row>
    <row r="239" spans="33:33">
      <c r="AG239" s="17"/>
    </row>
    <row r="240" spans="33:33">
      <c r="AG240" s="17"/>
    </row>
    <row r="241" spans="33:33">
      <c r="AG241" s="17"/>
    </row>
    <row r="242" spans="33:33">
      <c r="AG242" s="17"/>
    </row>
    <row r="243" spans="33:33">
      <c r="AG243" s="17"/>
    </row>
    <row r="244" spans="33:33">
      <c r="AG244" s="17"/>
    </row>
    <row r="245" spans="33:33">
      <c r="AG245" s="17"/>
    </row>
    <row r="246" spans="33:33">
      <c r="AG246" s="17"/>
    </row>
    <row r="247" spans="33:33">
      <c r="AG247" s="17"/>
    </row>
    <row r="248" spans="33:33">
      <c r="AG248" s="17"/>
    </row>
    <row r="249" spans="33:33">
      <c r="AG249" s="17"/>
    </row>
    <row r="250" spans="33:33">
      <c r="AG250" s="17"/>
    </row>
    <row r="251" spans="33:33">
      <c r="AG251" s="17"/>
    </row>
    <row r="252" spans="33:33">
      <c r="AG252" s="17"/>
    </row>
    <row r="253" spans="33:33">
      <c r="AG253" s="17"/>
    </row>
    <row r="254" spans="33:33">
      <c r="AG254" s="17"/>
    </row>
    <row r="255" spans="33:33">
      <c r="AG255" s="17"/>
    </row>
    <row r="256" spans="33:33">
      <c r="AG256" s="17"/>
    </row>
    <row r="257" spans="33:33">
      <c r="AG257" s="17"/>
    </row>
    <row r="258" spans="33:33">
      <c r="AG258" s="17"/>
    </row>
    <row r="259" spans="33:33">
      <c r="AG259" s="17"/>
    </row>
    <row r="260" spans="33:33">
      <c r="AG260" s="17"/>
    </row>
    <row r="261" spans="33:33">
      <c r="AG261" s="17"/>
    </row>
    <row r="262" spans="33:33">
      <c r="AG262" s="17"/>
    </row>
    <row r="263" spans="33:33">
      <c r="AG263" s="17"/>
    </row>
    <row r="264" spans="33:33">
      <c r="AG264" s="17"/>
    </row>
    <row r="265" spans="33:33">
      <c r="AG265" s="17"/>
    </row>
    <row r="266" spans="33:33">
      <c r="AG266" s="17"/>
    </row>
    <row r="267" spans="33:33">
      <c r="AG267" s="17"/>
    </row>
    <row r="268" spans="33:33">
      <c r="AG268" s="17"/>
    </row>
    <row r="269" spans="33:33">
      <c r="AG269" s="17"/>
    </row>
    <row r="270" spans="33:33">
      <c r="AG270" s="17"/>
    </row>
    <row r="271" spans="33:33">
      <c r="AG271" s="17"/>
    </row>
    <row r="272" spans="33:33">
      <c r="AG272" s="17"/>
    </row>
    <row r="273" spans="33:33">
      <c r="AG273" s="17"/>
    </row>
    <row r="274" spans="33:33">
      <c r="AG274" s="17"/>
    </row>
    <row r="275" spans="33:33">
      <c r="AG275" s="17"/>
    </row>
    <row r="276" spans="33:33">
      <c r="AG276" s="17"/>
    </row>
    <row r="277" spans="33:33">
      <c r="AG277" s="17"/>
    </row>
    <row r="278" spans="33:33">
      <c r="AG278" s="17"/>
    </row>
    <row r="279" spans="33:33">
      <c r="AG279" s="17"/>
    </row>
    <row r="280" spans="33:33">
      <c r="AG280" s="17"/>
    </row>
    <row r="281" spans="33:33">
      <c r="AG281" s="17"/>
    </row>
    <row r="282" spans="33:33">
      <c r="AG282" s="17"/>
    </row>
    <row r="283" spans="33:33">
      <c r="AG283" s="17"/>
    </row>
    <row r="284" spans="33:33">
      <c r="AG284" s="17"/>
    </row>
    <row r="285" spans="33:33">
      <c r="AG285" s="17"/>
    </row>
    <row r="286" spans="33:33">
      <c r="AG286" s="17"/>
    </row>
    <row r="287" spans="33:33">
      <c r="AG287" s="17"/>
    </row>
    <row r="288" spans="33:33">
      <c r="AG288" s="17"/>
    </row>
    <row r="289" spans="33:33">
      <c r="AG289" s="17"/>
    </row>
    <row r="290" spans="33:33">
      <c r="AG290" s="17"/>
    </row>
    <row r="291" spans="33:33">
      <c r="AG291" s="17"/>
    </row>
    <row r="292" spans="33:33">
      <c r="AG292" s="17"/>
    </row>
    <row r="293" spans="33:33">
      <c r="AG293" s="17"/>
    </row>
    <row r="294" spans="33:33">
      <c r="AG294" s="17"/>
    </row>
    <row r="295" spans="33:33">
      <c r="AG295" s="17"/>
    </row>
    <row r="296" spans="33:33">
      <c r="AG296" s="17"/>
    </row>
    <row r="297" spans="33:33">
      <c r="AG297" s="17"/>
    </row>
    <row r="298" spans="33:33">
      <c r="AG298" s="17"/>
    </row>
    <row r="299" spans="33:33">
      <c r="AG299" s="17"/>
    </row>
    <row r="300" spans="33:33">
      <c r="AG300" s="17"/>
    </row>
    <row r="301" spans="33:33">
      <c r="AG301" s="17"/>
    </row>
    <row r="302" spans="33:33">
      <c r="AG302" s="17"/>
    </row>
    <row r="303" spans="33:33">
      <c r="AG303" s="17"/>
    </row>
    <row r="304" spans="33:33">
      <c r="AG304" s="17"/>
    </row>
    <row r="305" spans="33:33">
      <c r="AG305" s="17"/>
    </row>
    <row r="306" spans="33:33">
      <c r="AG306" s="17"/>
    </row>
    <row r="307" spans="33:33">
      <c r="AG307" s="17"/>
    </row>
    <row r="308" spans="33:33">
      <c r="AG308" s="17"/>
    </row>
    <row r="309" spans="33:33">
      <c r="AG309" s="17"/>
    </row>
    <row r="310" spans="33:33">
      <c r="AG310" s="17"/>
    </row>
    <row r="311" spans="33:33">
      <c r="AG311" s="17"/>
    </row>
    <row r="312" spans="33:33">
      <c r="AG312" s="17"/>
    </row>
    <row r="313" spans="33:33">
      <c r="AG313" s="17"/>
    </row>
    <row r="314" spans="33:33">
      <c r="AG314" s="17"/>
    </row>
    <row r="315" spans="33:33">
      <c r="AG315" s="17"/>
    </row>
    <row r="316" spans="33:33">
      <c r="AG316" s="17"/>
    </row>
    <row r="317" spans="33:33">
      <c r="AG317" s="17"/>
    </row>
    <row r="318" spans="33:33">
      <c r="AG318" s="17"/>
    </row>
    <row r="319" spans="33:33">
      <c r="AG319" s="17"/>
    </row>
    <row r="320" spans="33:33">
      <c r="AG320" s="17"/>
    </row>
    <row r="321" spans="33:33">
      <c r="AG321" s="17"/>
    </row>
    <row r="322" spans="33:33">
      <c r="AG322" s="17"/>
    </row>
    <row r="323" spans="33:33">
      <c r="AG323" s="17"/>
    </row>
    <row r="324" spans="33:33">
      <c r="AG324" s="17"/>
    </row>
    <row r="325" spans="33:33">
      <c r="AG325" s="17"/>
    </row>
    <row r="326" spans="33:33">
      <c r="AG326" s="17"/>
    </row>
    <row r="327" spans="33:33">
      <c r="AG327" s="17"/>
    </row>
    <row r="328" spans="33:33">
      <c r="AG328" s="17"/>
    </row>
    <row r="329" spans="33:33">
      <c r="AG329" s="17"/>
    </row>
    <row r="330" spans="33:33">
      <c r="AG330" s="17"/>
    </row>
    <row r="331" spans="33:33">
      <c r="AG331" s="17"/>
    </row>
    <row r="332" spans="33:33">
      <c r="AG332" s="17"/>
    </row>
    <row r="333" spans="33:33">
      <c r="AG333" s="17"/>
    </row>
    <row r="334" spans="33:33">
      <c r="AG334" s="17"/>
    </row>
    <row r="335" spans="33:33">
      <c r="AG335" s="17"/>
    </row>
    <row r="336" spans="33:33">
      <c r="AG336" s="17"/>
    </row>
    <row r="337" spans="33:33">
      <c r="AG337" s="17"/>
    </row>
    <row r="338" spans="33:33">
      <c r="AG338" s="17"/>
    </row>
    <row r="339" spans="33:33">
      <c r="AG339" s="17"/>
    </row>
    <row r="340" spans="33:33">
      <c r="AG340" s="17"/>
    </row>
    <row r="341" spans="33:33">
      <c r="AG341" s="17"/>
    </row>
    <row r="342" spans="33:33">
      <c r="AG342" s="17"/>
    </row>
    <row r="343" spans="33:33">
      <c r="AG343" s="17"/>
    </row>
    <row r="344" spans="33:33">
      <c r="AG344" s="17"/>
    </row>
    <row r="345" spans="33:33">
      <c r="AG345" s="17"/>
    </row>
    <row r="346" spans="33:33">
      <c r="AG346" s="17"/>
    </row>
    <row r="347" spans="33:33">
      <c r="AG347" s="17"/>
    </row>
    <row r="348" spans="33:33">
      <c r="AG348" s="17"/>
    </row>
    <row r="349" spans="33:33">
      <c r="AG349" s="17"/>
    </row>
    <row r="350" spans="33:33">
      <c r="AG350" s="17"/>
    </row>
    <row r="351" spans="33:33">
      <c r="AG351" s="17"/>
    </row>
    <row r="352" spans="33:33">
      <c r="AG352" s="17"/>
    </row>
    <row r="353" spans="33:33">
      <c r="AG353" s="17"/>
    </row>
    <row r="354" spans="33:33">
      <c r="AG354" s="17"/>
    </row>
    <row r="355" spans="33:33">
      <c r="AG355" s="17"/>
    </row>
    <row r="356" spans="33:33">
      <c r="AG356" s="17"/>
    </row>
    <row r="357" spans="33:33">
      <c r="AG357" s="17"/>
    </row>
    <row r="358" spans="33:33">
      <c r="AG358" s="17"/>
    </row>
    <row r="359" spans="33:33">
      <c r="AG359" s="17"/>
    </row>
    <row r="360" spans="33:33">
      <c r="AG360" s="17"/>
    </row>
    <row r="361" spans="33:33">
      <c r="AG361" s="17"/>
    </row>
    <row r="362" spans="33:33">
      <c r="AG362" s="17"/>
    </row>
    <row r="363" spans="33:33">
      <c r="AG363" s="17"/>
    </row>
    <row r="364" spans="33:33">
      <c r="AG364" s="17"/>
    </row>
    <row r="365" spans="33:33">
      <c r="AG365" s="17"/>
    </row>
    <row r="366" spans="33:33">
      <c r="AG366" s="17"/>
    </row>
    <row r="367" spans="33:33">
      <c r="AG367" s="17"/>
    </row>
    <row r="368" spans="33:33">
      <c r="AG368" s="17"/>
    </row>
    <row r="369" spans="33:33">
      <c r="AG369" s="17"/>
    </row>
    <row r="370" spans="33:33">
      <c r="AG370" s="17"/>
    </row>
    <row r="371" spans="33:33">
      <c r="AG371" s="17"/>
    </row>
    <row r="372" spans="33:33">
      <c r="AG372" s="17"/>
    </row>
    <row r="373" spans="33:33">
      <c r="AG373" s="17"/>
    </row>
    <row r="374" spans="33:33">
      <c r="AG374" s="17"/>
    </row>
    <row r="375" spans="33:33">
      <c r="AG375" s="17"/>
    </row>
    <row r="376" spans="33:33">
      <c r="AG376" s="17"/>
    </row>
    <row r="377" spans="33:33">
      <c r="AG377" s="17"/>
    </row>
    <row r="378" spans="33:33">
      <c r="AG378" s="17"/>
    </row>
    <row r="379" spans="33:33">
      <c r="AG379" s="17"/>
    </row>
    <row r="380" spans="33:33">
      <c r="AG380" s="17"/>
    </row>
    <row r="381" spans="33:33">
      <c r="AG381" s="17"/>
    </row>
    <row r="382" spans="33:33">
      <c r="AG382" s="17"/>
    </row>
    <row r="383" spans="33:33">
      <c r="AG383" s="17"/>
    </row>
    <row r="384" spans="33:33">
      <c r="AG384" s="17"/>
    </row>
    <row r="385" spans="33:33">
      <c r="AG385" s="17"/>
    </row>
    <row r="386" spans="33:33">
      <c r="AG386" s="17"/>
    </row>
    <row r="387" spans="33:33">
      <c r="AG387" s="17"/>
    </row>
    <row r="388" spans="33:33">
      <c r="AG388" s="17"/>
    </row>
    <row r="389" spans="33:33">
      <c r="AG389" s="17"/>
    </row>
    <row r="390" spans="33:33">
      <c r="AG390" s="17"/>
    </row>
    <row r="391" spans="33:33">
      <c r="AG391" s="17"/>
    </row>
    <row r="392" spans="33:33">
      <c r="AG392" s="17"/>
    </row>
    <row r="393" spans="33:33">
      <c r="AG393" s="17"/>
    </row>
    <row r="394" spans="33:33">
      <c r="AG394" s="17"/>
    </row>
    <row r="395" spans="33:33">
      <c r="AG395" s="17"/>
    </row>
    <row r="396" spans="33:33">
      <c r="AG396" s="17"/>
    </row>
    <row r="397" spans="33:33">
      <c r="AG397" s="17"/>
    </row>
    <row r="398" spans="33:33">
      <c r="AG398" s="17"/>
    </row>
    <row r="399" spans="33:33">
      <c r="AG399" s="17"/>
    </row>
    <row r="400" spans="33:33">
      <c r="AG400" s="17"/>
    </row>
    <row r="401" spans="33:33">
      <c r="AG401" s="17"/>
    </row>
    <row r="402" spans="33:33">
      <c r="AG402" s="17"/>
    </row>
    <row r="403" spans="33:33">
      <c r="AG403" s="17"/>
    </row>
    <row r="404" spans="33:33">
      <c r="AG404" s="17"/>
    </row>
    <row r="405" spans="33:33">
      <c r="AG405" s="17"/>
    </row>
    <row r="406" spans="33:33">
      <c r="AG406" s="17"/>
    </row>
    <row r="407" spans="33:33">
      <c r="AG407" s="17"/>
    </row>
    <row r="408" spans="33:33">
      <c r="AG408" s="17"/>
    </row>
    <row r="409" spans="33:33">
      <c r="AG409" s="17"/>
    </row>
    <row r="410" spans="33:33">
      <c r="AG410" s="17"/>
    </row>
    <row r="411" spans="33:33">
      <c r="AG411" s="17"/>
    </row>
    <row r="412" spans="33:33">
      <c r="AG412" s="17"/>
    </row>
    <row r="413" spans="33:33">
      <c r="AG413" s="17"/>
    </row>
    <row r="414" spans="33:33">
      <c r="AG414" s="17"/>
    </row>
    <row r="415" spans="33:33">
      <c r="AG415" s="17"/>
    </row>
    <row r="416" spans="33:33">
      <c r="AG416" s="17"/>
    </row>
    <row r="417" spans="33:33">
      <c r="AG417" s="17"/>
    </row>
    <row r="418" spans="33:33">
      <c r="AG418" s="17"/>
    </row>
    <row r="419" spans="33:33">
      <c r="AG419" s="17"/>
    </row>
    <row r="420" spans="33:33">
      <c r="AG420" s="17"/>
    </row>
    <row r="421" spans="33:33">
      <c r="AG421" s="17"/>
    </row>
    <row r="422" spans="33:33">
      <c r="AG422" s="17"/>
    </row>
    <row r="423" spans="33:33">
      <c r="AG423" s="17"/>
    </row>
    <row r="424" spans="33:33">
      <c r="AG424" s="17"/>
    </row>
    <row r="425" spans="33:33">
      <c r="AG425" s="17"/>
    </row>
    <row r="426" spans="33:33">
      <c r="AG426" s="17"/>
    </row>
    <row r="427" spans="33:33">
      <c r="AG427" s="17"/>
    </row>
    <row r="428" spans="33:33">
      <c r="AG428" s="17"/>
    </row>
    <row r="429" spans="33:33">
      <c r="AG429" s="17"/>
    </row>
    <row r="430" spans="33:33">
      <c r="AG430" s="17"/>
    </row>
    <row r="431" spans="33:33">
      <c r="AG431" s="17"/>
    </row>
    <row r="432" spans="33:33">
      <c r="AG432" s="17"/>
    </row>
    <row r="433" spans="33:33">
      <c r="AG433" s="17"/>
    </row>
    <row r="434" spans="33:33">
      <c r="AG434" s="17"/>
    </row>
    <row r="435" spans="33:33">
      <c r="AG435" s="17"/>
    </row>
    <row r="436" spans="33:33">
      <c r="AG436" s="17"/>
    </row>
    <row r="437" spans="33:33">
      <c r="AG437" s="17"/>
    </row>
    <row r="438" spans="33:33">
      <c r="AG438" s="17"/>
    </row>
    <row r="439" spans="33:33">
      <c r="AG439" s="17"/>
    </row>
    <row r="440" spans="33:33">
      <c r="AG440" s="17"/>
    </row>
    <row r="441" spans="33:33">
      <c r="AG441" s="17"/>
    </row>
    <row r="442" spans="33:33">
      <c r="AG442" s="17"/>
    </row>
    <row r="443" spans="33:33">
      <c r="AG443" s="17"/>
    </row>
    <row r="444" spans="33:33">
      <c r="AG444" s="17"/>
    </row>
    <row r="445" spans="33:33">
      <c r="AG445" s="17"/>
    </row>
    <row r="446" spans="33:33">
      <c r="AG446" s="17"/>
    </row>
    <row r="447" spans="33:33">
      <c r="AG447" s="17"/>
    </row>
    <row r="448" spans="33:33">
      <c r="AG448" s="17"/>
    </row>
    <row r="449" spans="33:33">
      <c r="AG449" s="17"/>
    </row>
    <row r="450" spans="33:33">
      <c r="AG450" s="17"/>
    </row>
    <row r="451" spans="33:33">
      <c r="AG451" s="17"/>
    </row>
    <row r="452" spans="33:33">
      <c r="AG452" s="17"/>
    </row>
    <row r="453" spans="33:33">
      <c r="AG453" s="17"/>
    </row>
    <row r="454" spans="33:33">
      <c r="AG454" s="17"/>
    </row>
    <row r="455" spans="33:33">
      <c r="AG455" s="17"/>
    </row>
    <row r="456" spans="33:33">
      <c r="AG456" s="17"/>
    </row>
    <row r="457" spans="33:33">
      <c r="AG457" s="17"/>
    </row>
    <row r="458" spans="33:33">
      <c r="AG458" s="17"/>
    </row>
    <row r="459" spans="33:33">
      <c r="AG459" s="17"/>
    </row>
    <row r="460" spans="33:33">
      <c r="AG460" s="17"/>
    </row>
    <row r="461" spans="33:33">
      <c r="AG461" s="17"/>
    </row>
    <row r="462" spans="33:33">
      <c r="AG462" s="17"/>
    </row>
    <row r="463" spans="33:33">
      <c r="AG463" s="17"/>
    </row>
    <row r="464" spans="33:33">
      <c r="AG464" s="17"/>
    </row>
    <row r="465" spans="33:33">
      <c r="AG465" s="17"/>
    </row>
    <row r="466" spans="33:33">
      <c r="AG466" s="17"/>
    </row>
    <row r="467" spans="33:33">
      <c r="AG467" s="17"/>
    </row>
    <row r="468" spans="33:33">
      <c r="AG468" s="17"/>
    </row>
    <row r="469" spans="33:33">
      <c r="AG469" s="17"/>
    </row>
    <row r="470" spans="33:33">
      <c r="AG470" s="17"/>
    </row>
    <row r="471" spans="33:33">
      <c r="AG471" s="17"/>
    </row>
    <row r="472" spans="33:33">
      <c r="AG472" s="17"/>
    </row>
    <row r="473" spans="33:33">
      <c r="AG473" s="17"/>
    </row>
    <row r="474" spans="33:33">
      <c r="AG474" s="17"/>
    </row>
    <row r="475" spans="33:33">
      <c r="AG475" s="17"/>
    </row>
    <row r="476" spans="33:33">
      <c r="AG476" s="17"/>
    </row>
    <row r="477" spans="33:33">
      <c r="AG477" s="17"/>
    </row>
    <row r="478" spans="33:33">
      <c r="AG478" s="17"/>
    </row>
    <row r="479" spans="33:33">
      <c r="AG479" s="17"/>
    </row>
    <row r="480" spans="33:33">
      <c r="AG480" s="17"/>
    </row>
    <row r="481" spans="33:33">
      <c r="AG481" s="17"/>
    </row>
    <row r="482" spans="33:33">
      <c r="AG482" s="17"/>
    </row>
    <row r="483" spans="33:33">
      <c r="AG483" s="17"/>
    </row>
    <row r="484" spans="33:33">
      <c r="AG484" s="17"/>
    </row>
    <row r="485" spans="33:33">
      <c r="AG485" s="17"/>
    </row>
    <row r="486" spans="33:33">
      <c r="AG486" s="17"/>
    </row>
    <row r="487" spans="33:33">
      <c r="AG487" s="17"/>
    </row>
    <row r="488" spans="33:33">
      <c r="AG488" s="17"/>
    </row>
    <row r="489" spans="33:33">
      <c r="AG489" s="17"/>
    </row>
    <row r="490" spans="33:33">
      <c r="AG490" s="17"/>
    </row>
    <row r="491" spans="33:33">
      <c r="AG491" s="17"/>
    </row>
    <row r="492" spans="33:33">
      <c r="AG492" s="17"/>
    </row>
    <row r="493" spans="33:33">
      <c r="AG493" s="17"/>
    </row>
    <row r="494" spans="33:33">
      <c r="AG494" s="17"/>
    </row>
    <row r="495" spans="33:33">
      <c r="AG495" s="17"/>
    </row>
    <row r="496" spans="33:33">
      <c r="AG496" s="17"/>
    </row>
    <row r="497" spans="33:33">
      <c r="AG497" s="17"/>
    </row>
    <row r="498" spans="33:33">
      <c r="AG498" s="17"/>
    </row>
    <row r="499" spans="33:33">
      <c r="AG499" s="17"/>
    </row>
    <row r="500" spans="33:33">
      <c r="AG500" s="17"/>
    </row>
    <row r="501" spans="33:33">
      <c r="AG501" s="17"/>
    </row>
    <row r="502" spans="33:33">
      <c r="AG502" s="17"/>
    </row>
    <row r="503" spans="33:33">
      <c r="AG503" s="17"/>
    </row>
    <row r="504" spans="33:33">
      <c r="AG504" s="17"/>
    </row>
    <row r="505" spans="33:33">
      <c r="AG505" s="17"/>
    </row>
    <row r="506" spans="33:33">
      <c r="AG506" s="17"/>
    </row>
    <row r="507" spans="33:33">
      <c r="AG507" s="17"/>
    </row>
    <row r="508" spans="33:33">
      <c r="AG508" s="17"/>
    </row>
    <row r="509" spans="33:33">
      <c r="AG509" s="17"/>
    </row>
    <row r="510" spans="33:33">
      <c r="AG510" s="17"/>
    </row>
    <row r="511" spans="33:33">
      <c r="AG511" s="17"/>
    </row>
    <row r="512" spans="33:33">
      <c r="AG512" s="17"/>
    </row>
    <row r="513" spans="33:33">
      <c r="AG513" s="17"/>
    </row>
    <row r="514" spans="33:33">
      <c r="AG514" s="17"/>
    </row>
    <row r="515" spans="33:33">
      <c r="AG515" s="17"/>
    </row>
    <row r="516" spans="33:33">
      <c r="AG516" s="17"/>
    </row>
    <row r="517" spans="33:33">
      <c r="AG517" s="17"/>
    </row>
    <row r="518" spans="33:33">
      <c r="AG518" s="17"/>
    </row>
    <row r="519" spans="33:33">
      <c r="AG519" s="17"/>
    </row>
    <row r="520" spans="33:33">
      <c r="AG520" s="17"/>
    </row>
    <row r="521" spans="33:33">
      <c r="AG521" s="17"/>
    </row>
    <row r="522" spans="33:33">
      <c r="AG522" s="17"/>
    </row>
    <row r="523" spans="33:33">
      <c r="AG523" s="17"/>
    </row>
    <row r="524" spans="33:33">
      <c r="AG524" s="17"/>
    </row>
    <row r="525" spans="33:33">
      <c r="AG525" s="17"/>
    </row>
    <row r="526" spans="33:33">
      <c r="AG526" s="17"/>
    </row>
    <row r="527" spans="33:33">
      <c r="AG527" s="17"/>
    </row>
    <row r="528" spans="33:33">
      <c r="AG528" s="17"/>
    </row>
    <row r="529" spans="33:33">
      <c r="AG529" s="17"/>
    </row>
    <row r="530" spans="33:33">
      <c r="AG530" s="17"/>
    </row>
    <row r="531" spans="33:33">
      <c r="AG531" s="17"/>
    </row>
    <row r="532" spans="33:33">
      <c r="AG532" s="17"/>
    </row>
    <row r="533" spans="33:33">
      <c r="AG533" s="17"/>
    </row>
    <row r="534" spans="33:33">
      <c r="AG534" s="17"/>
    </row>
    <row r="535" spans="33:33">
      <c r="AG535" s="17"/>
    </row>
    <row r="536" spans="33:33">
      <c r="AG536" s="17"/>
    </row>
    <row r="537" spans="33:33">
      <c r="AG537" s="17"/>
    </row>
    <row r="538" spans="33:33">
      <c r="AG538" s="17"/>
    </row>
    <row r="539" spans="33:33">
      <c r="AG539" s="17"/>
    </row>
    <row r="540" spans="33:33">
      <c r="AG540" s="17"/>
    </row>
    <row r="541" spans="33:33">
      <c r="AG541" s="17"/>
    </row>
    <row r="542" spans="33:33">
      <c r="AG542" s="17"/>
    </row>
    <row r="543" spans="33:33">
      <c r="AG543" s="17"/>
    </row>
    <row r="544" spans="33:33">
      <c r="AG544" s="17"/>
    </row>
    <row r="545" spans="33:33">
      <c r="AG545" s="17"/>
    </row>
    <row r="546" spans="33:33">
      <c r="AG546" s="17"/>
    </row>
    <row r="547" spans="33:33">
      <c r="AG547" s="17"/>
    </row>
    <row r="548" spans="33:33">
      <c r="AG548" s="17"/>
    </row>
    <row r="549" spans="33:33">
      <c r="AG549" s="17"/>
    </row>
    <row r="550" spans="33:33">
      <c r="AG550" s="17"/>
    </row>
    <row r="551" spans="33:33">
      <c r="AG551" s="17"/>
    </row>
    <row r="552" spans="33:33">
      <c r="AG552" s="17"/>
    </row>
    <row r="553" spans="33:33">
      <c r="AG553" s="17"/>
    </row>
    <row r="554" spans="33:33">
      <c r="AG554" s="17"/>
    </row>
    <row r="555" spans="33:33">
      <c r="AG555" s="17"/>
    </row>
    <row r="556" spans="33:33">
      <c r="AG556" s="17"/>
    </row>
    <row r="557" spans="33:33">
      <c r="AG557" s="17"/>
    </row>
    <row r="558" spans="33:33">
      <c r="AG558" s="17"/>
    </row>
    <row r="559" spans="33:33">
      <c r="AG559" s="17"/>
    </row>
    <row r="560" spans="33:33">
      <c r="AG560" s="17"/>
    </row>
    <row r="561" spans="33:33">
      <c r="AG561" s="17"/>
    </row>
    <row r="562" spans="33:33">
      <c r="AG562" s="17"/>
    </row>
    <row r="563" spans="33:33">
      <c r="AG563" s="17"/>
    </row>
    <row r="564" spans="33:33">
      <c r="AG564" s="17"/>
    </row>
    <row r="565" spans="33:33">
      <c r="AG565" s="17"/>
    </row>
    <row r="566" spans="33:33">
      <c r="AG566" s="17"/>
    </row>
    <row r="567" spans="33:33">
      <c r="AG567" s="17"/>
    </row>
    <row r="568" spans="33:33">
      <c r="AG568" s="17"/>
    </row>
    <row r="569" spans="33:33">
      <c r="AG569" s="17"/>
    </row>
    <row r="570" spans="33:33">
      <c r="AG570" s="17"/>
    </row>
    <row r="571" spans="33:33">
      <c r="AG571" s="17"/>
    </row>
    <row r="572" spans="33:33">
      <c r="AG572" s="17"/>
    </row>
    <row r="573" spans="33:33">
      <c r="AG573" s="17"/>
    </row>
    <row r="574" spans="33:33">
      <c r="AG574" s="17"/>
    </row>
    <row r="575" spans="33:33">
      <c r="AG575" s="17"/>
    </row>
    <row r="576" spans="33:33">
      <c r="AG576" s="17"/>
    </row>
    <row r="577" spans="33:33">
      <c r="AG577" s="17"/>
    </row>
    <row r="578" spans="33:33">
      <c r="AG578" s="17"/>
    </row>
    <row r="579" spans="33:33">
      <c r="AG579" s="17"/>
    </row>
    <row r="580" spans="33:33">
      <c r="AG580" s="17"/>
    </row>
    <row r="581" spans="33:33">
      <c r="AG581" s="17"/>
    </row>
    <row r="582" spans="33:33">
      <c r="AG582" s="17"/>
    </row>
    <row r="583" spans="33:33">
      <c r="AG583" s="17"/>
    </row>
    <row r="584" spans="33:33">
      <c r="AG584" s="17"/>
    </row>
    <row r="585" spans="33:33">
      <c r="AG585" s="17"/>
    </row>
    <row r="586" spans="33:33">
      <c r="AG586" s="17"/>
    </row>
    <row r="587" spans="33:33">
      <c r="AG587" s="17"/>
    </row>
    <row r="588" spans="33:33">
      <c r="AG588" s="17"/>
    </row>
    <row r="589" spans="33:33">
      <c r="AG589" s="17"/>
    </row>
    <row r="590" spans="33:33">
      <c r="AG590" s="17"/>
    </row>
    <row r="591" spans="33:33">
      <c r="AG591" s="17"/>
    </row>
    <row r="592" spans="33:33">
      <c r="AG592" s="17"/>
    </row>
    <row r="593" spans="33:33">
      <c r="AG593" s="17"/>
    </row>
    <row r="594" spans="33:33">
      <c r="AG594" s="17"/>
    </row>
    <row r="595" spans="33:33">
      <c r="AG595" s="17"/>
    </row>
    <row r="596" spans="33:33">
      <c r="AG596" s="17"/>
    </row>
    <row r="597" spans="33:33">
      <c r="AG597" s="17"/>
    </row>
    <row r="598" spans="33:33">
      <c r="AG598" s="17"/>
    </row>
    <row r="599" spans="33:33">
      <c r="AG599" s="17"/>
    </row>
    <row r="600" spans="33:33">
      <c r="AG600" s="17"/>
    </row>
    <row r="601" spans="33:33">
      <c r="AG601" s="17"/>
    </row>
    <row r="602" spans="33:33">
      <c r="AG602" s="17"/>
    </row>
    <row r="603" spans="33:33">
      <c r="AG603" s="17"/>
    </row>
    <row r="604" spans="33:33">
      <c r="AG604" s="17"/>
    </row>
    <row r="605" spans="33:33">
      <c r="AG605" s="17"/>
    </row>
    <row r="606" spans="33:33">
      <c r="AG606" s="17"/>
    </row>
    <row r="607" spans="33:33">
      <c r="AG607" s="17"/>
    </row>
    <row r="608" spans="33:33">
      <c r="AG608" s="17"/>
    </row>
    <row r="609" spans="33:33">
      <c r="AG609" s="17"/>
    </row>
    <row r="610" spans="33:33">
      <c r="AG610" s="17"/>
    </row>
    <row r="611" spans="33:33">
      <c r="AG611" s="17"/>
    </row>
    <row r="612" spans="33:33">
      <c r="AG612" s="17"/>
    </row>
    <row r="613" spans="33:33">
      <c r="AG613" s="17"/>
    </row>
    <row r="614" spans="33:33">
      <c r="AG614" s="17"/>
    </row>
    <row r="615" spans="33:33">
      <c r="AG615" s="17"/>
    </row>
    <row r="616" spans="33:33">
      <c r="AG616" s="17"/>
    </row>
    <row r="617" spans="33:33">
      <c r="AG617" s="17"/>
    </row>
    <row r="618" spans="33:33">
      <c r="AG618" s="17"/>
    </row>
    <row r="619" spans="33:33">
      <c r="AG619" s="17"/>
    </row>
    <row r="620" spans="33:33">
      <c r="AG620" s="17"/>
    </row>
    <row r="621" spans="33:33">
      <c r="AG621" s="17"/>
    </row>
    <row r="622" spans="33:33">
      <c r="AG622" s="17"/>
    </row>
    <row r="623" spans="33:33">
      <c r="AG623" s="17"/>
    </row>
    <row r="624" spans="33:33">
      <c r="AG624" s="17"/>
    </row>
    <row r="625" spans="33:33">
      <c r="AG625" s="17"/>
    </row>
    <row r="626" spans="33:33">
      <c r="AG626" s="17"/>
    </row>
    <row r="627" spans="33:33">
      <c r="AG627" s="17"/>
    </row>
    <row r="628" spans="33:33">
      <c r="AG628" s="17"/>
    </row>
    <row r="629" spans="33:33">
      <c r="AG629" s="17"/>
    </row>
    <row r="630" spans="33:33">
      <c r="AG630" s="17"/>
    </row>
    <row r="631" spans="33:33">
      <c r="AG631" s="17"/>
    </row>
    <row r="632" spans="33:33">
      <c r="AG632" s="17"/>
    </row>
    <row r="633" spans="33:33">
      <c r="AG633" s="17"/>
    </row>
    <row r="634" spans="33:33">
      <c r="AG634" s="17"/>
    </row>
    <row r="635" spans="33:33">
      <c r="AG635" s="17"/>
    </row>
    <row r="636" spans="33:33">
      <c r="AG636" s="17"/>
    </row>
    <row r="637" spans="33:33">
      <c r="AG637" s="17"/>
    </row>
    <row r="638" spans="33:33">
      <c r="AG638" s="17"/>
    </row>
    <row r="639" spans="33:33">
      <c r="AG639" s="17"/>
    </row>
    <row r="640" spans="33:33">
      <c r="AG640" s="17"/>
    </row>
    <row r="641" spans="33:33">
      <c r="AG641" s="17"/>
    </row>
    <row r="642" spans="33:33">
      <c r="AG642" s="17"/>
    </row>
    <row r="643" spans="33:33">
      <c r="AG643" s="17"/>
    </row>
    <row r="644" spans="33:33">
      <c r="AG644" s="17"/>
    </row>
    <row r="645" spans="33:33">
      <c r="AG645" s="17"/>
    </row>
    <row r="646" spans="33:33">
      <c r="AG646" s="17"/>
    </row>
    <row r="647" spans="33:33">
      <c r="AG647" s="17"/>
    </row>
    <row r="648" spans="33:33">
      <c r="AG648" s="17"/>
    </row>
    <row r="649" spans="33:33">
      <c r="AG649" s="17"/>
    </row>
    <row r="650" spans="33:33">
      <c r="AG650" s="17"/>
    </row>
    <row r="651" spans="33:33">
      <c r="AG651" s="17"/>
    </row>
    <row r="652" spans="33:33">
      <c r="AG652" s="17"/>
    </row>
    <row r="653" spans="33:33">
      <c r="AG653" s="17"/>
    </row>
    <row r="654" spans="33:33">
      <c r="AG654" s="17"/>
    </row>
    <row r="655" spans="33:33">
      <c r="AG655" s="17"/>
    </row>
    <row r="656" spans="33:33">
      <c r="AG656" s="17"/>
    </row>
    <row r="657" spans="33:33">
      <c r="AG657" s="17"/>
    </row>
  </sheetData>
  <autoFilter ref="B1:AF22" xr:uid="{00000000-0001-0000-0000-000000000000}"/>
  <pageMargins left="0.15763888888888899" right="0" top="0.27569444444444402" bottom="0.31527777777777799" header="0.51180555555555496" footer="0.51180555555555496"/>
  <pageSetup paperSize="9" firstPageNumber="0" orientation="portrait" r:id="rId1"/>
  <headerFooter>
    <oddFooter>&amp;L_x000D_&amp;1#&amp;"Calibri"&amp;10&amp;K000000 Clasificación: Interna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U27"/>
  <sheetViews>
    <sheetView zoomScaleNormal="100" workbookViewId="0">
      <selection activeCell="DH10" sqref="DH10"/>
    </sheetView>
  </sheetViews>
  <sheetFormatPr defaultColWidth="8.85546875" defaultRowHeight="15.75"/>
  <cols>
    <col min="1" max="1" width="21.7109375" style="2"/>
    <col min="2" max="121" width="3.5703125" style="1"/>
    <col min="122" max="122" width="8.140625"/>
    <col min="124" max="1021" width="8.140625"/>
  </cols>
  <sheetData>
    <row r="2" spans="1:1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4" spans="1:125" s="4" customFormat="1" ht="21.75" customHeight="1">
      <c r="B4" s="70" t="s">
        <v>0</v>
      </c>
      <c r="C4" s="70"/>
      <c r="D4" s="70"/>
      <c r="E4" s="70"/>
      <c r="F4" s="73" t="s">
        <v>1</v>
      </c>
      <c r="G4" s="73"/>
      <c r="H4" s="73"/>
      <c r="I4" s="73"/>
      <c r="J4" s="73" t="s">
        <v>2</v>
      </c>
      <c r="K4" s="73"/>
      <c r="L4" s="73"/>
      <c r="M4" s="73"/>
      <c r="N4" s="71" t="s">
        <v>3</v>
      </c>
      <c r="O4" s="71"/>
      <c r="P4" s="71"/>
      <c r="Q4" s="71"/>
      <c r="R4" s="71" t="s">
        <v>4</v>
      </c>
      <c r="S4" s="71"/>
      <c r="T4" s="71"/>
      <c r="U4" s="71"/>
      <c r="V4" s="70" t="s">
        <v>5</v>
      </c>
      <c r="W4" s="70"/>
      <c r="X4" s="70"/>
      <c r="Y4" s="70"/>
      <c r="Z4" s="70" t="s">
        <v>6</v>
      </c>
      <c r="AA4" s="70"/>
      <c r="AB4" s="70"/>
      <c r="AC4" s="70"/>
      <c r="AD4" s="70" t="s">
        <v>0</v>
      </c>
      <c r="AE4" s="70"/>
      <c r="AF4" s="70"/>
      <c r="AG4" s="70"/>
      <c r="AH4" s="70" t="s">
        <v>1</v>
      </c>
      <c r="AI4" s="70"/>
      <c r="AJ4" s="70"/>
      <c r="AK4" s="70"/>
      <c r="AL4" s="70" t="s">
        <v>2</v>
      </c>
      <c r="AM4" s="70"/>
      <c r="AN4" s="70"/>
      <c r="AO4" s="70"/>
      <c r="AP4" s="71" t="s">
        <v>3</v>
      </c>
      <c r="AQ4" s="71"/>
      <c r="AR4" s="71"/>
      <c r="AS4" s="71"/>
      <c r="AT4" s="71" t="s">
        <v>4</v>
      </c>
      <c r="AU4" s="71"/>
      <c r="AV4" s="71"/>
      <c r="AW4" s="71"/>
      <c r="AX4" s="70" t="s">
        <v>5</v>
      </c>
      <c r="AY4" s="70"/>
      <c r="AZ4" s="70"/>
      <c r="BA4" s="70"/>
      <c r="BB4" s="70" t="s">
        <v>6</v>
      </c>
      <c r="BC4" s="70"/>
      <c r="BD4" s="70"/>
      <c r="BE4" s="70"/>
      <c r="BF4" s="70" t="s">
        <v>0</v>
      </c>
      <c r="BG4" s="70"/>
      <c r="BH4" s="70"/>
      <c r="BI4" s="70"/>
      <c r="BJ4" s="70" t="s">
        <v>1</v>
      </c>
      <c r="BK4" s="70"/>
      <c r="BL4" s="70"/>
      <c r="BM4" s="70"/>
      <c r="BN4" s="70" t="s">
        <v>2</v>
      </c>
      <c r="BO4" s="70"/>
      <c r="BP4" s="70"/>
      <c r="BQ4" s="70"/>
      <c r="BR4" s="71" t="s">
        <v>3</v>
      </c>
      <c r="BS4" s="71"/>
      <c r="BT4" s="71"/>
      <c r="BU4" s="71"/>
      <c r="BV4" s="71" t="s">
        <v>4</v>
      </c>
      <c r="BW4" s="71"/>
      <c r="BX4" s="71"/>
      <c r="BY4" s="71"/>
      <c r="BZ4" s="70" t="s">
        <v>5</v>
      </c>
      <c r="CA4" s="70"/>
      <c r="CB4" s="70"/>
      <c r="CC4" s="70"/>
      <c r="CD4" s="70" t="s">
        <v>6</v>
      </c>
      <c r="CE4" s="70"/>
      <c r="CF4" s="70"/>
      <c r="CG4" s="70"/>
      <c r="CH4" s="70" t="s">
        <v>0</v>
      </c>
      <c r="CI4" s="70"/>
      <c r="CJ4" s="70"/>
      <c r="CK4" s="70"/>
      <c r="CL4" s="70" t="s">
        <v>1</v>
      </c>
      <c r="CM4" s="70"/>
      <c r="CN4" s="70"/>
      <c r="CO4" s="70"/>
      <c r="CP4" s="70" t="s">
        <v>2</v>
      </c>
      <c r="CQ4" s="70"/>
      <c r="CR4" s="70"/>
      <c r="CS4" s="70"/>
      <c r="CT4" s="71" t="s">
        <v>3</v>
      </c>
      <c r="CU4" s="71"/>
      <c r="CV4" s="71"/>
      <c r="CW4" s="71"/>
      <c r="CX4" s="71" t="s">
        <v>4</v>
      </c>
      <c r="CY4" s="71"/>
      <c r="CZ4" s="71"/>
      <c r="DA4" s="71"/>
      <c r="DB4" s="70" t="s">
        <v>5</v>
      </c>
      <c r="DC4" s="70"/>
      <c r="DD4" s="70"/>
      <c r="DE4" s="70"/>
      <c r="DF4" s="70" t="s">
        <v>6</v>
      </c>
      <c r="DG4" s="70"/>
      <c r="DH4" s="70"/>
      <c r="DI4" s="70"/>
      <c r="DJ4" s="70" t="s">
        <v>0</v>
      </c>
      <c r="DK4" s="70"/>
      <c r="DL4" s="70"/>
      <c r="DM4" s="70"/>
      <c r="DN4" s="70" t="s">
        <v>1</v>
      </c>
      <c r="DO4" s="70"/>
      <c r="DP4" s="70"/>
      <c r="DQ4" s="70"/>
      <c r="DR4" s="59"/>
      <c r="DS4" s="59"/>
      <c r="DT4" s="59"/>
      <c r="DU4" s="59"/>
    </row>
    <row r="5" spans="1:125" ht="21.75" customHeight="1">
      <c r="A5" s="4"/>
      <c r="B5" s="70">
        <v>1</v>
      </c>
      <c r="C5" s="70"/>
      <c r="D5" s="70"/>
      <c r="E5" s="70"/>
      <c r="F5" s="73">
        <v>2</v>
      </c>
      <c r="G5" s="73"/>
      <c r="H5" s="73"/>
      <c r="I5" s="73"/>
      <c r="J5" s="73">
        <v>3</v>
      </c>
      <c r="K5" s="73"/>
      <c r="L5" s="73"/>
      <c r="M5" s="73"/>
      <c r="N5" s="71">
        <v>4</v>
      </c>
      <c r="O5" s="71"/>
      <c r="P5" s="71"/>
      <c r="Q5" s="71"/>
      <c r="R5" s="71">
        <v>5</v>
      </c>
      <c r="S5" s="71"/>
      <c r="T5" s="71"/>
      <c r="U5" s="71"/>
      <c r="V5" s="70">
        <v>6</v>
      </c>
      <c r="W5" s="70"/>
      <c r="X5" s="70"/>
      <c r="Y5" s="70"/>
      <c r="Z5" s="70">
        <v>7</v>
      </c>
      <c r="AA5" s="70"/>
      <c r="AB5" s="70"/>
      <c r="AC5" s="70"/>
      <c r="AD5" s="70">
        <v>8</v>
      </c>
      <c r="AE5" s="70"/>
      <c r="AF5" s="70"/>
      <c r="AG5" s="70"/>
      <c r="AH5" s="70">
        <v>9</v>
      </c>
      <c r="AI5" s="70"/>
      <c r="AJ5" s="70"/>
      <c r="AK5" s="70"/>
      <c r="AL5" s="70">
        <v>10</v>
      </c>
      <c r="AM5" s="70"/>
      <c r="AN5" s="70"/>
      <c r="AO5" s="70"/>
      <c r="AP5" s="71">
        <v>11</v>
      </c>
      <c r="AQ5" s="71"/>
      <c r="AR5" s="71"/>
      <c r="AS5" s="71"/>
      <c r="AT5" s="71">
        <v>12</v>
      </c>
      <c r="AU5" s="71"/>
      <c r="AV5" s="71"/>
      <c r="AW5" s="71"/>
      <c r="AX5" s="70">
        <v>13</v>
      </c>
      <c r="AY5" s="70"/>
      <c r="AZ5" s="70"/>
      <c r="BA5" s="70"/>
      <c r="BB5" s="70">
        <v>14</v>
      </c>
      <c r="BC5" s="70"/>
      <c r="BD5" s="70"/>
      <c r="BE5" s="70"/>
      <c r="BF5" s="70">
        <v>15</v>
      </c>
      <c r="BG5" s="70"/>
      <c r="BH5" s="70"/>
      <c r="BI5" s="70"/>
      <c r="BJ5" s="70">
        <v>16</v>
      </c>
      <c r="BK5" s="70"/>
      <c r="BL5" s="70"/>
      <c r="BM5" s="70"/>
      <c r="BN5" s="70">
        <v>17</v>
      </c>
      <c r="BO5" s="70"/>
      <c r="BP5" s="70"/>
      <c r="BQ5" s="70"/>
      <c r="BR5" s="71">
        <v>18</v>
      </c>
      <c r="BS5" s="71"/>
      <c r="BT5" s="71"/>
      <c r="BU5" s="71"/>
      <c r="BV5" s="71">
        <v>19</v>
      </c>
      <c r="BW5" s="71"/>
      <c r="BX5" s="71"/>
      <c r="BY5" s="71"/>
      <c r="BZ5" s="70">
        <v>20</v>
      </c>
      <c r="CA5" s="70"/>
      <c r="CB5" s="70"/>
      <c r="CC5" s="70"/>
      <c r="CD5" s="70">
        <v>21</v>
      </c>
      <c r="CE5" s="70"/>
      <c r="CF5" s="70"/>
      <c r="CG5" s="70"/>
      <c r="CH5" s="70">
        <v>22</v>
      </c>
      <c r="CI5" s="70"/>
      <c r="CJ5" s="70"/>
      <c r="CK5" s="70"/>
      <c r="CL5" s="70">
        <v>23</v>
      </c>
      <c r="CM5" s="70"/>
      <c r="CN5" s="70"/>
      <c r="CO5" s="70"/>
      <c r="CP5" s="70">
        <v>24</v>
      </c>
      <c r="CQ5" s="70"/>
      <c r="CR5" s="70"/>
      <c r="CS5" s="70"/>
      <c r="CT5" s="71">
        <v>25</v>
      </c>
      <c r="CU5" s="71"/>
      <c r="CV5" s="71"/>
      <c r="CW5" s="71"/>
      <c r="CX5" s="71">
        <v>26</v>
      </c>
      <c r="CY5" s="71"/>
      <c r="CZ5" s="71"/>
      <c r="DA5" s="71"/>
      <c r="DB5" s="70">
        <v>27</v>
      </c>
      <c r="DC5" s="70"/>
      <c r="DD5" s="70"/>
      <c r="DE5" s="70"/>
      <c r="DF5" s="70">
        <v>28</v>
      </c>
      <c r="DG5" s="70"/>
      <c r="DH5" s="70"/>
      <c r="DI5" s="70"/>
      <c r="DJ5" s="70">
        <v>29</v>
      </c>
      <c r="DK5" s="70"/>
      <c r="DL5" s="70"/>
      <c r="DM5" s="70"/>
      <c r="DN5" s="70">
        <v>30</v>
      </c>
      <c r="DO5" s="70"/>
      <c r="DP5" s="70"/>
      <c r="DQ5" s="70"/>
    </row>
    <row r="6" spans="1:125" s="4" customFormat="1" ht="21.75" customHeight="1">
      <c r="B6" s="5" t="s">
        <v>6</v>
      </c>
      <c r="C6" s="5" t="s">
        <v>23</v>
      </c>
      <c r="D6" s="5" t="s">
        <v>21</v>
      </c>
      <c r="E6" s="5" t="s">
        <v>43</v>
      </c>
      <c r="F6" s="5" t="s">
        <v>6</v>
      </c>
      <c r="G6" s="5" t="s">
        <v>23</v>
      </c>
      <c r="H6" s="5" t="s">
        <v>21</v>
      </c>
      <c r="I6" s="5" t="s">
        <v>43</v>
      </c>
      <c r="J6" s="5" t="s">
        <v>6</v>
      </c>
      <c r="K6" s="5" t="s">
        <v>23</v>
      </c>
      <c r="L6" s="5" t="s">
        <v>21</v>
      </c>
      <c r="M6" s="5" t="s">
        <v>43</v>
      </c>
      <c r="N6" s="5" t="s">
        <v>6</v>
      </c>
      <c r="O6" s="5" t="s">
        <v>23</v>
      </c>
      <c r="P6" s="5" t="s">
        <v>21</v>
      </c>
      <c r="Q6" s="5" t="s">
        <v>43</v>
      </c>
      <c r="R6" s="6" t="s">
        <v>6</v>
      </c>
      <c r="S6" s="7" t="s">
        <v>23</v>
      </c>
      <c r="T6" s="7" t="s">
        <v>21</v>
      </c>
      <c r="U6" s="8" t="s">
        <v>43</v>
      </c>
      <c r="V6" s="6" t="s">
        <v>6</v>
      </c>
      <c r="W6" s="7" t="s">
        <v>23</v>
      </c>
      <c r="X6" s="7" t="s">
        <v>21</v>
      </c>
      <c r="Y6" s="8" t="s">
        <v>43</v>
      </c>
      <c r="Z6" s="6" t="s">
        <v>6</v>
      </c>
      <c r="AA6" s="7" t="s">
        <v>23</v>
      </c>
      <c r="AB6" s="7" t="s">
        <v>21</v>
      </c>
      <c r="AC6" s="8" t="s">
        <v>43</v>
      </c>
      <c r="AD6" s="6" t="s">
        <v>6</v>
      </c>
      <c r="AE6" s="7" t="s">
        <v>23</v>
      </c>
      <c r="AF6" s="7" t="s">
        <v>21</v>
      </c>
      <c r="AG6" s="8" t="s">
        <v>43</v>
      </c>
      <c r="AH6" s="6" t="s">
        <v>6</v>
      </c>
      <c r="AI6" s="7" t="s">
        <v>23</v>
      </c>
      <c r="AJ6" s="7" t="s">
        <v>21</v>
      </c>
      <c r="AK6" s="8" t="s">
        <v>43</v>
      </c>
      <c r="AL6" s="5" t="s">
        <v>6</v>
      </c>
      <c r="AM6" s="5" t="s">
        <v>23</v>
      </c>
      <c r="AN6" s="5" t="s">
        <v>21</v>
      </c>
      <c r="AO6" s="5" t="s">
        <v>43</v>
      </c>
      <c r="AP6" s="5" t="s">
        <v>6</v>
      </c>
      <c r="AQ6" s="5" t="s">
        <v>23</v>
      </c>
      <c r="AR6" s="5" t="s">
        <v>21</v>
      </c>
      <c r="AS6" s="5" t="s">
        <v>43</v>
      </c>
      <c r="AT6" s="5" t="s">
        <v>6</v>
      </c>
      <c r="AU6" s="5" t="s">
        <v>23</v>
      </c>
      <c r="AV6" s="5" t="s">
        <v>21</v>
      </c>
      <c r="AW6" s="5" t="s">
        <v>43</v>
      </c>
      <c r="AX6" s="5" t="s">
        <v>6</v>
      </c>
      <c r="AY6" s="5" t="s">
        <v>23</v>
      </c>
      <c r="AZ6" s="5" t="s">
        <v>21</v>
      </c>
      <c r="BA6" s="5" t="s">
        <v>43</v>
      </c>
      <c r="BB6" s="5" t="s">
        <v>6</v>
      </c>
      <c r="BC6" s="5" t="s">
        <v>23</v>
      </c>
      <c r="BD6" s="5" t="s">
        <v>21</v>
      </c>
      <c r="BE6" s="5" t="s">
        <v>43</v>
      </c>
      <c r="BF6" s="5" t="s">
        <v>6</v>
      </c>
      <c r="BG6" s="5" t="s">
        <v>23</v>
      </c>
      <c r="BH6" s="5" t="s">
        <v>21</v>
      </c>
      <c r="BI6" s="5" t="s">
        <v>43</v>
      </c>
      <c r="BJ6" s="5" t="s">
        <v>6</v>
      </c>
      <c r="BK6" s="5" t="s">
        <v>23</v>
      </c>
      <c r="BL6" s="5" t="s">
        <v>21</v>
      </c>
      <c r="BM6" s="5" t="s">
        <v>43</v>
      </c>
      <c r="BN6" s="5" t="s">
        <v>6</v>
      </c>
      <c r="BO6" s="5" t="s">
        <v>23</v>
      </c>
      <c r="BP6" s="5" t="s">
        <v>21</v>
      </c>
      <c r="BQ6" s="5" t="s">
        <v>43</v>
      </c>
      <c r="BR6" s="5" t="s">
        <v>6</v>
      </c>
      <c r="BS6" s="5" t="s">
        <v>23</v>
      </c>
      <c r="BT6" s="5" t="s">
        <v>21</v>
      </c>
      <c r="BU6" s="5" t="s">
        <v>43</v>
      </c>
      <c r="BV6" s="5" t="s">
        <v>6</v>
      </c>
      <c r="BW6" s="5" t="s">
        <v>23</v>
      </c>
      <c r="BX6" s="5" t="s">
        <v>21</v>
      </c>
      <c r="BY6" s="5" t="s">
        <v>43</v>
      </c>
      <c r="BZ6" s="5" t="s">
        <v>6</v>
      </c>
      <c r="CA6" s="5" t="s">
        <v>23</v>
      </c>
      <c r="CB6" s="5" t="s">
        <v>21</v>
      </c>
      <c r="CC6" s="5" t="s">
        <v>43</v>
      </c>
      <c r="CD6" s="5" t="s">
        <v>6</v>
      </c>
      <c r="CE6" s="5" t="s">
        <v>23</v>
      </c>
      <c r="CF6" s="5" t="s">
        <v>21</v>
      </c>
      <c r="CG6" s="5" t="s">
        <v>43</v>
      </c>
      <c r="CH6" s="5" t="s">
        <v>6</v>
      </c>
      <c r="CI6" s="5" t="s">
        <v>23</v>
      </c>
      <c r="CJ6" s="5" t="s">
        <v>21</v>
      </c>
      <c r="CK6" s="5" t="s">
        <v>43</v>
      </c>
      <c r="CL6" s="5" t="s">
        <v>6</v>
      </c>
      <c r="CM6" s="5" t="s">
        <v>23</v>
      </c>
      <c r="CN6" s="5" t="s">
        <v>21</v>
      </c>
      <c r="CO6" s="5" t="s">
        <v>43</v>
      </c>
      <c r="CP6" s="5" t="s">
        <v>6</v>
      </c>
      <c r="CQ6" s="5" t="s">
        <v>23</v>
      </c>
      <c r="CR6" s="5" t="s">
        <v>21</v>
      </c>
      <c r="CS6" s="5" t="s">
        <v>43</v>
      </c>
      <c r="CT6" s="5" t="s">
        <v>6</v>
      </c>
      <c r="CU6" s="5" t="s">
        <v>23</v>
      </c>
      <c r="CV6" s="5" t="s">
        <v>21</v>
      </c>
      <c r="CW6" s="5" t="s">
        <v>43</v>
      </c>
      <c r="CX6" s="5" t="s">
        <v>6</v>
      </c>
      <c r="CY6" s="5" t="s">
        <v>23</v>
      </c>
      <c r="CZ6" s="5" t="s">
        <v>21</v>
      </c>
      <c r="DA6" s="5" t="s">
        <v>43</v>
      </c>
      <c r="DB6" s="5" t="s">
        <v>6</v>
      </c>
      <c r="DC6" s="5" t="s">
        <v>23</v>
      </c>
      <c r="DD6" s="5" t="s">
        <v>21</v>
      </c>
      <c r="DE6" s="5" t="s">
        <v>43</v>
      </c>
      <c r="DF6" s="5" t="s">
        <v>6</v>
      </c>
      <c r="DG6" s="5" t="s">
        <v>23</v>
      </c>
      <c r="DH6" s="5" t="s">
        <v>21</v>
      </c>
      <c r="DI6" s="5" t="s">
        <v>43</v>
      </c>
      <c r="DJ6" s="5" t="s">
        <v>6</v>
      </c>
      <c r="DK6" s="5" t="s">
        <v>23</v>
      </c>
      <c r="DL6" s="5" t="s">
        <v>21</v>
      </c>
      <c r="DM6" s="5" t="s">
        <v>43</v>
      </c>
      <c r="DN6" s="5" t="s">
        <v>6</v>
      </c>
      <c r="DO6" s="5" t="s">
        <v>23</v>
      </c>
      <c r="DP6" s="5" t="s">
        <v>21</v>
      </c>
      <c r="DQ6" s="5" t="s">
        <v>43</v>
      </c>
    </row>
    <row r="7" spans="1:125">
      <c r="A7" s="2" t="s">
        <v>44</v>
      </c>
      <c r="B7" s="1">
        <v>2</v>
      </c>
      <c r="C7" s="9">
        <v>3</v>
      </c>
      <c r="D7" s="1">
        <v>1</v>
      </c>
      <c r="E7" s="1">
        <v>1</v>
      </c>
      <c r="F7" s="1">
        <v>2</v>
      </c>
      <c r="G7" s="9">
        <v>1</v>
      </c>
      <c r="H7" s="1">
        <v>1</v>
      </c>
      <c r="I7" s="1">
        <v>1</v>
      </c>
      <c r="J7" s="1">
        <v>2</v>
      </c>
      <c r="K7" s="9">
        <v>1</v>
      </c>
      <c r="L7" s="1">
        <v>1</v>
      </c>
      <c r="M7" s="1">
        <v>1</v>
      </c>
      <c r="N7" s="1">
        <v>3</v>
      </c>
      <c r="O7" s="9">
        <v>1</v>
      </c>
      <c r="P7" s="1">
        <v>1</v>
      </c>
      <c r="Q7" s="1">
        <v>1</v>
      </c>
      <c r="R7" s="1">
        <v>2</v>
      </c>
      <c r="S7" s="9">
        <v>1</v>
      </c>
      <c r="T7" s="1">
        <v>1</v>
      </c>
      <c r="U7" s="1">
        <v>1</v>
      </c>
      <c r="V7" s="1">
        <v>2</v>
      </c>
      <c r="W7" s="9">
        <v>3</v>
      </c>
      <c r="X7" s="1">
        <v>1</v>
      </c>
      <c r="Y7" s="1">
        <v>1</v>
      </c>
      <c r="Z7" s="1">
        <v>2</v>
      </c>
      <c r="AA7" s="9">
        <v>3</v>
      </c>
      <c r="AB7" s="1">
        <v>1</v>
      </c>
      <c r="AC7" s="1">
        <v>1</v>
      </c>
      <c r="AD7" s="1">
        <v>3</v>
      </c>
      <c r="AE7" s="9">
        <v>3</v>
      </c>
      <c r="AF7" s="1">
        <v>1</v>
      </c>
      <c r="AG7" s="1">
        <v>1</v>
      </c>
      <c r="AH7" s="1">
        <v>3</v>
      </c>
      <c r="AI7" s="9">
        <v>3</v>
      </c>
      <c r="AJ7" s="1">
        <v>1</v>
      </c>
      <c r="AK7" s="1">
        <v>1</v>
      </c>
      <c r="AL7" s="1">
        <v>3</v>
      </c>
      <c r="AM7" s="9">
        <v>3</v>
      </c>
      <c r="AN7" s="1">
        <v>1</v>
      </c>
      <c r="AO7" s="1">
        <v>1</v>
      </c>
      <c r="AP7" s="1">
        <v>2</v>
      </c>
      <c r="AQ7" s="9">
        <v>1</v>
      </c>
      <c r="AR7" s="1">
        <v>1</v>
      </c>
      <c r="AS7" s="1">
        <v>1</v>
      </c>
      <c r="AT7" s="1">
        <v>2</v>
      </c>
      <c r="AU7" s="9">
        <v>1</v>
      </c>
      <c r="AV7" s="1">
        <v>1</v>
      </c>
      <c r="AW7" s="1">
        <v>1</v>
      </c>
      <c r="AX7" s="1">
        <v>3</v>
      </c>
      <c r="AY7" s="9">
        <v>3</v>
      </c>
      <c r="AZ7" s="1">
        <v>1</v>
      </c>
      <c r="BA7" s="1">
        <v>1</v>
      </c>
      <c r="BB7" s="1">
        <v>3</v>
      </c>
      <c r="BC7" s="9">
        <v>3</v>
      </c>
      <c r="BD7" s="1">
        <v>1</v>
      </c>
      <c r="BE7" s="1">
        <v>1</v>
      </c>
      <c r="BF7" s="1">
        <v>3</v>
      </c>
      <c r="BG7" s="9">
        <v>3</v>
      </c>
      <c r="BH7" s="1">
        <v>1</v>
      </c>
      <c r="BI7" s="1">
        <v>1</v>
      </c>
      <c r="BJ7" s="1">
        <v>3</v>
      </c>
      <c r="BK7" s="9">
        <v>3</v>
      </c>
      <c r="BL7" s="1">
        <v>1</v>
      </c>
      <c r="BM7" s="1">
        <v>1</v>
      </c>
      <c r="BN7" s="1">
        <v>3</v>
      </c>
      <c r="BO7" s="9">
        <v>3</v>
      </c>
      <c r="BP7" s="1">
        <v>1</v>
      </c>
      <c r="BQ7" s="1">
        <v>1</v>
      </c>
      <c r="BR7" s="1">
        <v>2</v>
      </c>
      <c r="BS7" s="9">
        <v>1</v>
      </c>
      <c r="BT7" s="1">
        <v>1</v>
      </c>
      <c r="BU7" s="1">
        <v>1</v>
      </c>
      <c r="BV7" s="1">
        <v>2</v>
      </c>
      <c r="BW7" s="9">
        <v>1</v>
      </c>
      <c r="BX7" s="1">
        <v>1</v>
      </c>
      <c r="BY7" s="1">
        <v>1</v>
      </c>
      <c r="BZ7" s="1">
        <v>3</v>
      </c>
      <c r="CA7" s="9">
        <v>3</v>
      </c>
      <c r="CB7" s="1">
        <v>1</v>
      </c>
      <c r="CC7" s="1">
        <v>1</v>
      </c>
      <c r="CD7" s="1">
        <v>3</v>
      </c>
      <c r="CE7" s="9">
        <v>3</v>
      </c>
      <c r="CF7" s="1">
        <v>1</v>
      </c>
      <c r="CG7" s="1">
        <v>1</v>
      </c>
      <c r="CH7" s="1">
        <v>3</v>
      </c>
      <c r="CI7" s="9">
        <v>3</v>
      </c>
      <c r="CJ7" s="1">
        <v>1</v>
      </c>
      <c r="CK7" s="1">
        <v>1</v>
      </c>
      <c r="CL7" s="1">
        <v>3</v>
      </c>
      <c r="CM7" s="9">
        <v>3</v>
      </c>
      <c r="CN7" s="1">
        <v>1</v>
      </c>
      <c r="CO7" s="1">
        <v>1</v>
      </c>
      <c r="CP7" s="1">
        <v>3</v>
      </c>
      <c r="CQ7" s="9">
        <v>3</v>
      </c>
      <c r="CR7" s="1">
        <v>1</v>
      </c>
      <c r="CS7" s="1">
        <v>1</v>
      </c>
      <c r="CT7" s="1">
        <v>2</v>
      </c>
      <c r="CU7" s="9">
        <v>1</v>
      </c>
      <c r="CV7" s="1">
        <v>1</v>
      </c>
      <c r="CW7" s="1">
        <v>1</v>
      </c>
      <c r="CX7" s="1">
        <v>2</v>
      </c>
      <c r="CY7" s="9">
        <v>1</v>
      </c>
      <c r="CZ7" s="1">
        <v>1</v>
      </c>
      <c r="DA7" s="1">
        <v>1</v>
      </c>
      <c r="DB7" s="1">
        <v>3</v>
      </c>
      <c r="DC7" s="9">
        <v>3</v>
      </c>
      <c r="DD7" s="1">
        <v>1</v>
      </c>
      <c r="DE7" s="1">
        <v>1</v>
      </c>
      <c r="DF7" s="1">
        <v>3</v>
      </c>
      <c r="DG7" s="9">
        <v>3</v>
      </c>
      <c r="DH7" s="1">
        <v>1</v>
      </c>
      <c r="DI7" s="1">
        <v>1</v>
      </c>
      <c r="DJ7" s="1">
        <v>3</v>
      </c>
      <c r="DK7" s="9">
        <v>3</v>
      </c>
      <c r="DL7" s="1">
        <v>1</v>
      </c>
      <c r="DM7" s="1">
        <v>1</v>
      </c>
      <c r="DN7" s="1">
        <v>3</v>
      </c>
      <c r="DO7" s="9">
        <v>3</v>
      </c>
      <c r="DP7" s="1">
        <v>1</v>
      </c>
      <c r="DQ7" s="1">
        <v>1</v>
      </c>
    </row>
    <row r="8" spans="1:125">
      <c r="C8" s="10"/>
      <c r="R8" s="11"/>
      <c r="U8" s="12"/>
      <c r="V8" s="11"/>
      <c r="Y8" s="12"/>
      <c r="Z8" s="11"/>
      <c r="AC8" s="12"/>
      <c r="AD8" s="11"/>
      <c r="AG8" s="12"/>
      <c r="AH8" s="11"/>
      <c r="AK8" s="12"/>
    </row>
    <row r="9" spans="1:125">
      <c r="A9" s="2" t="s">
        <v>45</v>
      </c>
      <c r="B9" s="1">
        <f>COUNTIFS(ABRIL!$C3:$C29,"M",ABRIL!$B$3:$B$29,"limpiadora")</f>
        <v>3</v>
      </c>
      <c r="C9" s="1">
        <f>COUNTIFS(ABRIL!$C3:$C29,"T",ABRIL!$B$3:$B$29,"limpiadora")</f>
        <v>3</v>
      </c>
      <c r="D9" s="1">
        <f>COUNTIF(ABRIL!$C3:$C29,"N")</f>
        <v>1</v>
      </c>
      <c r="E9" s="1">
        <f>COUNTIFS(ABRIL!$C3:$C29,"M",ABRIL!$B3:$B29,"peon")+COUNTIFS(ABRIL!$C3:$C29,"T",ABRIL!$B3:$B29,"peon")</f>
        <v>0</v>
      </c>
      <c r="F9" s="1">
        <f>COUNTIFS(ABRIL!$D3:$D29,"M",ABRIL!$B$3:$B$29,"limpiadora")</f>
        <v>4</v>
      </c>
      <c r="G9" s="1">
        <f>COUNTIFS(ABRIL!$D3:$D29,"T",ABRIL!$B$3:$B$29,"limpiadora")</f>
        <v>1</v>
      </c>
      <c r="H9" s="1">
        <f>COUNTIF(ABRIL!$D3:$D29,"N")</f>
        <v>1</v>
      </c>
      <c r="I9" s="1">
        <f>COUNTIFS(ABRIL!$D3:$D29,"M",ABRIL!$B3:$B29,"peon")+COUNTIFS(ABRIL!$D3:$D29,"T",ABRIL!$B3:$B29,"peon")</f>
        <v>0</v>
      </c>
      <c r="J9" s="1">
        <f>COUNTIFS(ABRIL!$E3:$E29,"M",ABRIL!$B$3:$B$29,"limpiadora")</f>
        <v>3</v>
      </c>
      <c r="K9" s="1">
        <f>COUNTIFS(ABRIL!$E3:$E29,"T",ABRIL!$B$3:$B$29,"limpiadora")</f>
        <v>1</v>
      </c>
      <c r="L9" s="1">
        <f>COUNTIF(ABRIL!$E3:$E29,"N")</f>
        <v>1</v>
      </c>
      <c r="M9" s="1">
        <f>COUNTIFS(ABRIL!$E3:$E29,"M",ABRIL!$B3:$B29,"peon")+COUNTIFS(ABRIL!$E3:$E29,"T",ABRIL!$B3:$B29,"peon")</f>
        <v>0</v>
      </c>
      <c r="N9" s="1">
        <f>COUNTIFS(ABRIL!$F3:$F29,"M",ABRIL!$B$3:$B$29,"limpiadora")</f>
        <v>3</v>
      </c>
      <c r="O9" s="1">
        <f>COUNTIFS(ABRIL!$F3:$F29,"T",ABRIL!$B$3:$B$29,"limpiadora")</f>
        <v>2</v>
      </c>
      <c r="P9" s="1">
        <f>COUNTIF(ABRIL!$F3:$F29,"N")</f>
        <v>1</v>
      </c>
      <c r="Q9" s="1">
        <f>COUNTIFS(ABRIL!$F3:$F29,"M",ABRIL!$B3:$B29,"peon")+COUNTIFS(ABRIL!$F3:$F29,"T",ABRIL!$B3:$B29,"peon")</f>
        <v>0</v>
      </c>
      <c r="R9" s="11">
        <f>COUNTIFS(ABRIL!$G3:$G29,"M",ABRIL!$B$3:$B$29,"limpiadora")</f>
        <v>3</v>
      </c>
      <c r="S9" s="1">
        <f>COUNTIFS(ABRIL!$G3:$G29,"T",ABRIL!$B$3:$B$29,"limpiadora")</f>
        <v>1</v>
      </c>
      <c r="T9" s="1">
        <f>COUNTIF(ABRIL!$G3:$G29,"N")</f>
        <v>1</v>
      </c>
      <c r="U9" s="12">
        <f>COUNTIFS(ABRIL!$G3:$G29,"M",ABRIL!$B3:$B29,"peon")+COUNTIFS(ABRIL!$G3:$G29,"T",ABRIL!$B3:$B29,"peon")</f>
        <v>0</v>
      </c>
      <c r="V9" s="11">
        <f>COUNTIFS(ABRIL!$H3:$H29,"M",ABRIL!$B$3:$B$29,"limpiadora")</f>
        <v>3</v>
      </c>
      <c r="W9" s="1">
        <f>COUNTIFS(ABRIL!$H3:$H29,"T",ABRIL!$B$3:$B$29,"limpiadora")</f>
        <v>3</v>
      </c>
      <c r="X9" s="1">
        <f>COUNTIF(ABRIL!$H3:$H29,"N")</f>
        <v>1</v>
      </c>
      <c r="Y9" s="12">
        <f>COUNTIFS(ABRIL!$H3:$H29,"M",ABRIL!$B3:$B29,"peon")+COUNTIFS(ABRIL!$H3:$H29,"T",ABRIL!$B3:$B29,"peon")</f>
        <v>0</v>
      </c>
      <c r="Z9" s="11">
        <f>COUNTIFS(ABRIL!$I3:$I29,"M",ABRIL!$B$3:$B$29,"limpiadora")</f>
        <v>3</v>
      </c>
      <c r="AA9" s="1">
        <f>COUNTIFS(ABRIL!$I3:$I29,"T",ABRIL!$B$3:$B$29,"limpiadora")</f>
        <v>3</v>
      </c>
      <c r="AB9" s="1">
        <f>COUNTIF(ABRIL!$I3:$I29,"N")</f>
        <v>1</v>
      </c>
      <c r="AC9" s="12">
        <f>COUNTIFS(ABRIL!$I3:$I29,"M",ABRIL!$B3:$B29,"peon")+COUNTIFS(ABRIL!$I3:$I29,"T",ABRIL!$B3:$B29,"peon")</f>
        <v>0</v>
      </c>
      <c r="AD9" s="11">
        <f>COUNTIFS(ABRIL!$J3:$J29,"M",ABRIL!$B$3:$B$29,"limpiadora")</f>
        <v>4</v>
      </c>
      <c r="AE9" s="1">
        <f>COUNTIFS(ABRIL!$J3:$J29,"T",ABRIL!$B$3:$B$29,"limpiadora")</f>
        <v>3</v>
      </c>
      <c r="AF9" s="1">
        <f>COUNTIF(ABRIL!$J3:$J29,"N")</f>
        <v>1</v>
      </c>
      <c r="AG9" s="12">
        <f>COUNTIFS(ABRIL!$J3:$J29,"M",ABRIL!$B3:$B29,"peon")+COUNTIFS(ABRIL!$J3:$J29,"T",ABRIL!$B3:$B29,"peon")</f>
        <v>0</v>
      </c>
      <c r="AH9" s="11">
        <f>COUNTIFS(ABRIL!$K3:$K29,"M",ABRIL!$B$3:$B$29,"limpiadora")</f>
        <v>4</v>
      </c>
      <c r="AI9" s="1">
        <f>COUNTIFS(ABRIL!$K3:$K29,"T",ABRIL!$B$3:$B$29,"limpiadora")</f>
        <v>3</v>
      </c>
      <c r="AJ9" s="1">
        <f>COUNTIF(ABRIL!$K3:$K29,"N")</f>
        <v>1</v>
      </c>
      <c r="AK9" s="12">
        <f>COUNTIFS(ABRIL!$K3:$K29,"M",ABRIL!$B3:$B29,"peon")+COUNTIFS(ABRIL!$K3:$K29,"T",ABRIL!$B3:$B29,"peon")</f>
        <v>0</v>
      </c>
      <c r="AL9" s="1">
        <f>COUNTIFS(ABRIL!$L3:$L29,"M",ABRIL!$B$3:$B$29,"limpiadora")</f>
        <v>4</v>
      </c>
      <c r="AM9" s="1">
        <f>COUNTIFS(ABRIL!$L3:$L29,"T",ABRIL!$B$3:$B$29,"limpiadora")</f>
        <v>3</v>
      </c>
      <c r="AN9" s="1">
        <f>COUNTIF(ABRIL!$L3:$L29,"N")</f>
        <v>1</v>
      </c>
      <c r="AO9" s="1">
        <f>COUNTIFS(ABRIL!$L3:$L29,"M",ABRIL!$B3:$B29,"peon")+COUNTIFS(ABRIL!$L3:$L29,"T",ABRIL!$B3:$B29,"peon")</f>
        <v>0</v>
      </c>
      <c r="AP9" s="1">
        <f>COUNTIFS(ABRIL!$M3:$M29,"M",ABRIL!$B$3:$B$29,"limpiadora")</f>
        <v>3</v>
      </c>
      <c r="AQ9" s="1">
        <f>COUNTIFS(ABRIL!$M3:$M29,"T",ABRIL!$B$3:$B$29,"limpiadora")</f>
        <v>1</v>
      </c>
      <c r="AR9" s="1">
        <f>COUNTIF(ABRIL!$M3:$M29,"N")</f>
        <v>1</v>
      </c>
      <c r="AS9" s="1">
        <f>COUNTIFS(ABRIL!$M3:$M29,"M",ABRIL!$B3:$B29,"peon")+COUNTIFS(ABRIL!$M3:$M29,"T",ABRIL!$B3:$B29,"peon")</f>
        <v>0</v>
      </c>
      <c r="AT9" s="1">
        <f>COUNTIFS(ABRIL!$N3:$N29,"M",ABRIL!$B$3:$B$29,"limpiadora")</f>
        <v>3</v>
      </c>
      <c r="AU9" s="1">
        <f>COUNTIFS(ABRIL!$N3:$N29,"T",ABRIL!$B$3:$B$29,"limpiadora")</f>
        <v>1</v>
      </c>
      <c r="AV9" s="1">
        <f>COUNTIF(ABRIL!$N3:$N29,"N")</f>
        <v>1</v>
      </c>
      <c r="AW9" s="1">
        <f>COUNTIFS(ABRIL!$N3:$N29,"M",ABRIL!$B3:$B29,"peon")+COUNTIFS(ABRIL!$N3:$N29,"T",ABRIL!$B3:$B29,"peon")</f>
        <v>0</v>
      </c>
      <c r="AX9" s="1">
        <f>COUNTIFS(ABRIL!$O3:$O29,"M",ABRIL!$B$3:$B$29,"limpiadora")</f>
        <v>4</v>
      </c>
      <c r="AY9" s="1">
        <f>COUNTIFS(ABRIL!$O3:$O29,"T",ABRIL!$B$3:$B$29,"limpiadora")</f>
        <v>3</v>
      </c>
      <c r="AZ9" s="1">
        <f>COUNTIF(ABRIL!$O3:$O29,"N")</f>
        <v>1</v>
      </c>
      <c r="BA9" s="1">
        <f>COUNTIFS(ABRIL!$O3:$O29,"M",ABRIL!$B3:$B29,"peon")+COUNTIFS(ABRIL!$O3:$O29,"T",ABRIL!$B3:$B29,"peon")</f>
        <v>0</v>
      </c>
      <c r="BB9" s="1">
        <f>COUNTIFS(ABRIL!$P3:$P29,"M",ABRIL!$B$3:$B$29,"limpiadora")</f>
        <v>4</v>
      </c>
      <c r="BC9" s="1">
        <f>COUNTIFS(ABRIL!$P3:$P29,"T",ABRIL!$B$3:$B$29,"limpiadora")</f>
        <v>3</v>
      </c>
      <c r="BD9" s="1">
        <f>COUNTIF(ABRIL!$P3:$P29,"N")</f>
        <v>1</v>
      </c>
      <c r="BE9" s="1">
        <f>COUNTIFS(ABRIL!$P3:$P29,"M",ABRIL!$B3:$B29,"peon")+COUNTIFS(ABRIL!$P3:$P29,"T",ABRIL!$B3:$B29,"peon")</f>
        <v>0</v>
      </c>
      <c r="BF9" s="1">
        <f>COUNTIFS(ABRIL!$Q3:$Q29,"M",ABRIL!$B$3:$B$29,"limpiadora")</f>
        <v>4</v>
      </c>
      <c r="BG9" s="1">
        <f>COUNTIFS(ABRIL!$Q3:$Q29,"T",ABRIL!$B$3:$B$29,"limpiadora")</f>
        <v>3</v>
      </c>
      <c r="BH9" s="1">
        <f>COUNTIF(ABRIL!$Q3:$Q29,"N")</f>
        <v>1</v>
      </c>
      <c r="BI9" s="1">
        <f>COUNTIFS(ABRIL!$Q3:$Q29,"M",ABRIL!$B3:$B29,"peon")+COUNTIFS(ABRIL!$Q3:$Q29,"T",ABRIL!$B3:$B29,"peon")</f>
        <v>0</v>
      </c>
      <c r="BJ9" s="1">
        <f>COUNTIFS(ABRIL!$R3:$R29,"M",ABRIL!$B$3:$B$29,"limpiadora")</f>
        <v>4</v>
      </c>
      <c r="BK9" s="1">
        <f>COUNTIFS(ABRIL!$R3:$R29,"T",ABRIL!$B$3:$B$29,"limpiadora")</f>
        <v>4</v>
      </c>
      <c r="BL9" s="1">
        <f>COUNTIF(ABRIL!$R3:$R29,"N")</f>
        <v>1</v>
      </c>
      <c r="BM9" s="1">
        <f>COUNTIFS(ABRIL!$R3:$R29,"M",ABRIL!$B3:$B29,"peon")+COUNTIFS(ABRIL!$R3:$R29,"T",ABRIL!$B3:$B29,"peon")</f>
        <v>0</v>
      </c>
      <c r="BN9" s="1">
        <f>COUNTIFS(ABRIL!$S3:$S29,"M",ABRIL!$B$3:$B$29,"limpiadora")</f>
        <v>3</v>
      </c>
      <c r="BO9" s="1">
        <f>COUNTIFS(ABRIL!$S3:$S29,"T",ABRIL!$B$3:$B$29,"limpiadora")</f>
        <v>2</v>
      </c>
      <c r="BP9" s="1">
        <f>COUNTIF(ABRIL!$S3:$S29,"N")</f>
        <v>1</v>
      </c>
      <c r="BQ9" s="1">
        <f>COUNTIFS(ABRIL!$S3:$S29,"M",ABRIL!$B3:$B29,"peon")+COUNTIFS(ABRIL!$S3:$S29,"T",ABRIL!$B3:$B29,"peon")</f>
        <v>0</v>
      </c>
      <c r="BR9" s="1">
        <f>COUNTIFS(ABRIL!$T3:$T29,"M",ABRIL!$B$3:$B$29,"limpiadora")</f>
        <v>2</v>
      </c>
      <c r="BS9" s="1">
        <f>COUNTIFS(ABRIL!$T3:$T29,"T",ABRIL!$B$3:$B$29,"limpiadora")</f>
        <v>3</v>
      </c>
      <c r="BT9" s="1">
        <f>COUNTIF(ABRIL!$T3:$T29,"N")</f>
        <v>1</v>
      </c>
      <c r="BU9" s="1">
        <f>COUNTIFS(ABRIL!$T3:$T29,"M",ABRIL!$B3:$B29,"peon")+COUNTIFS(ABRIL!$T3:$T29,"T",ABRIL!$B3:$B29,"peon")</f>
        <v>0</v>
      </c>
      <c r="BV9" s="1">
        <f>COUNTIFS(ABRIL!$U3:$U29,"M",ABRIL!$B$3:$B$29,"limpiadora")</f>
        <v>2</v>
      </c>
      <c r="BW9" s="1">
        <f>COUNTIFS(ABRIL!$U3:$U29,"T",ABRIL!$B$3:$B$29,"limpiadora")</f>
        <v>3</v>
      </c>
      <c r="BX9" s="1">
        <f>COUNTIF(ABRIL!$U3:$U29,"N")</f>
        <v>1</v>
      </c>
      <c r="BY9" s="1">
        <f>COUNTIFS(ABRIL!$U3:$U29,"M",ABRIL!$B3:$B29,"peon")+COUNTIFS(ABRIL!$U3:$U29,"T",ABRIL!$B3:$B29,"peon")</f>
        <v>0</v>
      </c>
      <c r="BZ9" s="1">
        <f>COUNTIFS(ABRIL!$V3:$V29,"M",ABRIL!$B$3:$B$29,"limpiadora")</f>
        <v>3</v>
      </c>
      <c r="CA9" s="1">
        <f>COUNTIFS(ABRIL!$V3:$V29,"T",ABRIL!$B$3:$B$29,"limpiadora")</f>
        <v>4</v>
      </c>
      <c r="CB9" s="1">
        <f>COUNTIF(ABRIL!$V3:$V29,"N")</f>
        <v>1</v>
      </c>
      <c r="CC9" s="1">
        <f>COUNTIFS(ABRIL!$V3:$V29,"M",ABRIL!$B3:$B29,"peon")+COUNTIFS(ABRIL!$V3:$V29,"T",ABRIL!$B3:$B29,"peon")</f>
        <v>0</v>
      </c>
      <c r="CD9" s="1">
        <f>COUNTIFS(ABRIL!$W3:$W29,"M",ABRIL!$B$3:$B$29,"limpiadora")</f>
        <v>5</v>
      </c>
      <c r="CE9" s="1">
        <f>COUNTIFS(ABRIL!$W3:$W29,"T",ABRIL!$B$3:$B$29,"limpiadora")</f>
        <v>4</v>
      </c>
      <c r="CF9" s="1">
        <f>COUNTIF(ABRIL!$W3:$W29,"N")</f>
        <v>1</v>
      </c>
      <c r="CG9" s="1">
        <f>COUNTIFS(ABRIL!$W3:$W29,"M",ABRIL!$B3:$B29,"peon")+COUNTIFS(ABRIL!$W3:$W29,"T",ABRIL!$B3:$B29,"peon")</f>
        <v>0</v>
      </c>
      <c r="CH9" s="1">
        <f>COUNTIFS(ABRIL!$X3:$X29,"M",ABRIL!$B$3:$B$29,"limpiadora")</f>
        <v>4</v>
      </c>
      <c r="CI9" s="1">
        <f>COUNTIFS(ABRIL!$X3:$X29,"T",ABRIL!$B$3:$B$29,"limpiadora")</f>
        <v>3</v>
      </c>
      <c r="CJ9" s="1">
        <f>COUNTIF(ABRIL!$X3:$X29,"N")</f>
        <v>1</v>
      </c>
      <c r="CK9" s="1">
        <f>COUNTIFS(ABRIL!$X3:$X29,"M",ABRIL!$B3:$B29,"peon")+COUNTIFS(ABRIL!$X3:$X29,"T",ABRIL!$B3:$B29,"peon")</f>
        <v>0</v>
      </c>
      <c r="CL9" s="1">
        <f>COUNTIFS(ABRIL!$Y3:$Y29,"M",ABRIL!$B$3:$B$29,"limpiadora")</f>
        <v>4</v>
      </c>
      <c r="CM9" s="1">
        <f>COUNTIFS(ABRIL!$Y3:$Y29,"T",ABRIL!$B$3:$B$29,"limpiadora")</f>
        <v>4</v>
      </c>
      <c r="CN9" s="1">
        <f>COUNTIF(ABRIL!$Y3:$Y29,"N")</f>
        <v>1</v>
      </c>
      <c r="CO9" s="1">
        <f>COUNTIFS(ABRIL!$Y3:$Y29,"M",ABRIL!$B3:$B29,"peon")+COUNTIFS(ABRIL!$Y3:$Y29,"T",ABRIL!$B3:$B29,"peon")</f>
        <v>0</v>
      </c>
      <c r="CP9" s="1">
        <f>COUNTIFS(ABRIL!$Z3:$Z29,"M",ABRIL!$B$3:$B$29,"limpiadora")</f>
        <v>3</v>
      </c>
      <c r="CQ9" s="1">
        <f>COUNTIFS(ABRIL!$Z3:$Z29,"T",ABRIL!$B$3:$B$29,"limpiadora")</f>
        <v>5</v>
      </c>
      <c r="CR9" s="1">
        <f>COUNTIF(ABRIL!$Z3:$Z29,"N")</f>
        <v>1</v>
      </c>
      <c r="CS9" s="1">
        <f>COUNTIFS(ABRIL!$Z3:$Z29,"M",ABRIL!$B3:$B29,"peon")+COUNTIFS(ABRIL!$Z3:$Z29,"T",ABRIL!$B3:$B29,"peon")</f>
        <v>0</v>
      </c>
      <c r="CT9" s="1">
        <f>COUNTIFS(ABRIL!$AA3:$AA29,"M",ABRIL!$B$3:$B$29,"limpiadora")</f>
        <v>3</v>
      </c>
      <c r="CU9" s="1">
        <f>COUNTIFS(ABRIL!$AA3:$AA29,"T",ABRIL!$B$3:$B$29,"limpiadora")</f>
        <v>1</v>
      </c>
      <c r="CV9" s="1">
        <f>COUNTIF(ABRIL!$AA3:$AA29,"N")</f>
        <v>1</v>
      </c>
      <c r="CW9" s="1">
        <f>COUNTIFS(ABRIL!$AA3:$AA29,"M",ABRIL!$B3:$B29,"peon")+COUNTIFS(ABRIL!$AA3:$AA29,"T",ABRIL!$B3:$B29,"peon")</f>
        <v>0</v>
      </c>
      <c r="CX9" s="1">
        <f>COUNTIFS(ABRIL!$AB3:$AB29,"M",ABRIL!$B$3:$B$29,"limpiadora")</f>
        <v>3</v>
      </c>
      <c r="CY9" s="1">
        <f>COUNTIFS(ABRIL!$AB3:$AB29,"T",ABRIL!$B$3:$B$29,"limpiadora")</f>
        <v>1</v>
      </c>
      <c r="CZ9" s="1">
        <f>COUNTIF(ABRIL!$AB3:$AB29,"N")</f>
        <v>1</v>
      </c>
      <c r="DA9" s="1">
        <f>COUNTIFS(ABRIL!$AB3:$AB29,"M",ABRIL!$B3:$B29,"peon")+COUNTIFS(ABRIL!$AB3:$AB29,"T",ABRIL!$B3:$B29,"peon")</f>
        <v>0</v>
      </c>
      <c r="DB9" s="1">
        <f>COUNTIFS(ABRIL!$AC3:$AC29,"M",ABRIL!$B$3:$B$29,"limpiadora")</f>
        <v>2</v>
      </c>
      <c r="DC9" s="1">
        <f>COUNTIFS(ABRIL!$AC3:$AC29,"T",ABRIL!$B$3:$B$29,"limpiadora")</f>
        <v>4</v>
      </c>
      <c r="DD9" s="1">
        <f>COUNTIF(ABRIL!$AC3:$AC29,"N")</f>
        <v>1</v>
      </c>
      <c r="DE9" s="1">
        <f>COUNTIFS(ABRIL!$AC3:$AC29,"M",ABRIL!$B3:$B29,"peon")+COUNTIFS(ABRIL!$AC3:$AC29,"T",ABRIL!$B3:$B29,"peon")</f>
        <v>0</v>
      </c>
      <c r="DF9" s="1">
        <f>COUNTIFS(ABRIL!$AD3:$AD29,"M",ABRIL!$B$3:$B$29,"limpiadora")</f>
        <v>4</v>
      </c>
      <c r="DG9" s="1">
        <f>COUNTIFS(ABRIL!$AD3:$AD29,"T",ABRIL!$B$3:$B$29,"limpiadora")</f>
        <v>4</v>
      </c>
      <c r="DH9" s="1">
        <f>COUNTIF(ABRIL!$AD3:$AD29,"N")</f>
        <v>1</v>
      </c>
      <c r="DI9" s="1">
        <f>COUNTIFS(ABRIL!$AD3:$AD29,"M",ABRIL!$B3:$B29,"peon")+COUNTIFS(ABRIL!$AD3:$AD29,"T",ABRIL!$B3:$B29,"peon")</f>
        <v>0</v>
      </c>
      <c r="DJ9" s="1">
        <f>COUNTIFS(ABRIL!$AE3:$AE29,"M",ABRIL!$B$3:$B$29,"limpiadora")</f>
        <v>4</v>
      </c>
      <c r="DK9" s="1">
        <f>COUNTIFS(ABRIL!$AE3:$AE29,"T",ABRIL!$B$3:$B$29,"limpiadora")</f>
        <v>5</v>
      </c>
      <c r="DL9" s="1">
        <f>COUNTIF(ABRIL!$AE3:$AE29,"N")</f>
        <v>1</v>
      </c>
      <c r="DM9" s="1">
        <f>COUNTIFS(ABRIL!$AE3:$AE29,"M",ABRIL!$B3:$B29,"peon")+COUNTIFS(ABRIL!$AE3:$AE29,"T",ABRIL!$B3:$B29,"peon")</f>
        <v>0</v>
      </c>
      <c r="DN9" s="1">
        <f>COUNTIFS(ABRIL!$AF3:$AF29,"M",ABRIL!$B$3:$B$29,"limpiadora")</f>
        <v>4</v>
      </c>
      <c r="DO9" s="1">
        <f>COUNTIFS(ABRIL!$AF3:$AF29,"T",ABRIL!$B$3:$B$29,"limpiadora")</f>
        <v>3</v>
      </c>
      <c r="DP9" s="1">
        <f>COUNTIF(ABRIL!$AF3:$AF29,"N")</f>
        <v>1</v>
      </c>
      <c r="DQ9" s="1">
        <f>COUNTIFS(ABRIL!$AF3:$AF29,"M",ABRIL!$B3:$B29,"peon")+COUNTIFS(ABRIL!$AF3:$AF29,"T",ABRIL!$B3:$B29,"peon")</f>
        <v>0</v>
      </c>
    </row>
    <row r="10" spans="1:125">
      <c r="R10" s="11"/>
      <c r="U10" s="12"/>
      <c r="V10" s="11"/>
      <c r="Y10" s="12"/>
      <c r="Z10" s="11"/>
      <c r="AC10" s="12"/>
      <c r="AD10" s="11"/>
      <c r="AG10" s="12"/>
      <c r="AH10" s="11"/>
      <c r="AK10" s="12"/>
    </row>
    <row r="11" spans="1:125">
      <c r="B11" s="13"/>
      <c r="R11" s="11"/>
      <c r="U11" s="12"/>
      <c r="V11" s="11"/>
      <c r="Y11" s="12"/>
      <c r="Z11" s="11"/>
      <c r="AC11" s="12"/>
      <c r="AD11" s="11"/>
      <c r="AG11" s="12"/>
      <c r="AH11" s="11"/>
      <c r="AK11" s="12"/>
    </row>
    <row r="12" spans="1:125">
      <c r="R12" s="11"/>
      <c r="U12" s="12"/>
      <c r="V12" s="11"/>
      <c r="Y12" s="12"/>
      <c r="Z12" s="11"/>
      <c r="AC12" s="12"/>
      <c r="AD12" s="11"/>
      <c r="AG12" s="12"/>
      <c r="AH12" s="11"/>
      <c r="AK12" s="12"/>
    </row>
    <row r="13" spans="1:125">
      <c r="A13" s="2" t="s">
        <v>46</v>
      </c>
      <c r="B13" s="1">
        <f>SUM(CONTRATACION!B9:B12)</f>
        <v>3</v>
      </c>
      <c r="C13" s="1">
        <f>SUM(CONTRATACION!C9:C12)</f>
        <v>3</v>
      </c>
      <c r="D13" s="1">
        <f>SUM(CONTRATACION!D9:D12)</f>
        <v>1</v>
      </c>
      <c r="E13" s="1">
        <f>SUM(CONTRATACION!E9:E12)</f>
        <v>0</v>
      </c>
      <c r="F13" s="1">
        <f>SUM(CONTRATACION!F9:F12)</f>
        <v>4</v>
      </c>
      <c r="G13" s="1">
        <f>SUM(CONTRATACION!G9:G12)</f>
        <v>1</v>
      </c>
      <c r="H13" s="1">
        <f>SUM(CONTRATACION!H9:H12)</f>
        <v>1</v>
      </c>
      <c r="I13" s="1">
        <f>SUM(CONTRATACION!I9:I12)</f>
        <v>0</v>
      </c>
      <c r="J13" s="1">
        <f>SUM(CONTRATACION!J9:J12)</f>
        <v>3</v>
      </c>
      <c r="K13" s="1">
        <f>SUM(CONTRATACION!K9:K12)</f>
        <v>1</v>
      </c>
      <c r="L13" s="1">
        <f>SUM(CONTRATACION!L9:L12)</f>
        <v>1</v>
      </c>
      <c r="M13" s="1">
        <f>SUM(CONTRATACION!M9:M12)</f>
        <v>0</v>
      </c>
      <c r="N13" s="1">
        <f>SUM(CONTRATACION!N9:N12)</f>
        <v>3</v>
      </c>
      <c r="O13" s="1">
        <f>SUM(CONTRATACION!O9:O12)</f>
        <v>2</v>
      </c>
      <c r="P13" s="1">
        <f>SUM(CONTRATACION!P9:P12)</f>
        <v>1</v>
      </c>
      <c r="Q13" s="1">
        <f>SUM(CONTRATACION!Q9:Q12)</f>
        <v>0</v>
      </c>
      <c r="R13" s="11">
        <f>SUM(CONTRATACION!R9:R12)</f>
        <v>3</v>
      </c>
      <c r="S13" s="1">
        <f>SUM(CONTRATACION!S9:S12)</f>
        <v>1</v>
      </c>
      <c r="T13" s="1">
        <f>SUM(CONTRATACION!T9:T12)</f>
        <v>1</v>
      </c>
      <c r="U13" s="12">
        <f>SUM(CONTRATACION!U9:U12)</f>
        <v>0</v>
      </c>
      <c r="V13" s="11">
        <f>SUM(CONTRATACION!V9:V12)</f>
        <v>3</v>
      </c>
      <c r="W13" s="1">
        <f>SUM(CONTRATACION!W9:W12)</f>
        <v>3</v>
      </c>
      <c r="X13" s="1">
        <f>SUM(CONTRATACION!X9:X12)</f>
        <v>1</v>
      </c>
      <c r="Y13" s="12">
        <f>SUM(CONTRATACION!Y9:Y12)</f>
        <v>0</v>
      </c>
      <c r="Z13" s="11">
        <f>SUM(CONTRATACION!Z9:Z12)</f>
        <v>3</v>
      </c>
      <c r="AA13" s="1">
        <f>SUM(CONTRATACION!AA9:AA12)</f>
        <v>3</v>
      </c>
      <c r="AB13" s="1">
        <f>SUM(CONTRATACION!AB9:AB12)</f>
        <v>1</v>
      </c>
      <c r="AC13" s="12">
        <f>SUM(CONTRATACION!AC9:AC12)</f>
        <v>0</v>
      </c>
      <c r="AD13" s="11">
        <f>SUM(CONTRATACION!AD9:AD12)</f>
        <v>4</v>
      </c>
      <c r="AE13" s="1">
        <f>SUM(CONTRATACION!AE9:AE12)</f>
        <v>3</v>
      </c>
      <c r="AF13" s="1">
        <f>SUM(CONTRATACION!AF9:AF12)</f>
        <v>1</v>
      </c>
      <c r="AG13" s="12">
        <f>SUM(CONTRATACION!AG9:AG12)</f>
        <v>0</v>
      </c>
      <c r="AH13" s="11">
        <f>SUM(CONTRATACION!AH9:AH12)</f>
        <v>4</v>
      </c>
      <c r="AI13" s="1">
        <f>SUM(CONTRATACION!AI9:AI12)</f>
        <v>3</v>
      </c>
      <c r="AJ13" s="1">
        <f>SUM(CONTRATACION!AJ9:AJ12)</f>
        <v>1</v>
      </c>
      <c r="AK13" s="12">
        <f>SUM(CONTRATACION!AK9:AK12)</f>
        <v>0</v>
      </c>
      <c r="AL13" s="12">
        <f>SUM(CONTRATACION!AL9:AL12)</f>
        <v>4</v>
      </c>
      <c r="AM13" s="1">
        <f>SUM(CONTRATACION!AM9:AM12)</f>
        <v>3</v>
      </c>
      <c r="AN13" s="1">
        <f>SUM(CONTRATACION!AN9:AN12)</f>
        <v>1</v>
      </c>
      <c r="AO13" s="1">
        <f>SUM(CONTRATACION!AO9:AO12)</f>
        <v>0</v>
      </c>
      <c r="AP13" s="1">
        <f>SUM(CONTRATACION!AP9:AP12)</f>
        <v>3</v>
      </c>
      <c r="AQ13" s="1">
        <f>SUM(CONTRATACION!AQ9:AQ12)</f>
        <v>1</v>
      </c>
      <c r="AR13" s="1">
        <f>SUM(CONTRATACION!AR9:AR12)</f>
        <v>1</v>
      </c>
      <c r="AS13" s="1">
        <f>SUM(CONTRATACION!AS9:AS12)</f>
        <v>0</v>
      </c>
      <c r="AT13" s="1">
        <f>SUM(CONTRATACION!AT9:AT12)</f>
        <v>3</v>
      </c>
      <c r="AU13" s="1">
        <f>SUM(CONTRATACION!AU9:AU12)</f>
        <v>1</v>
      </c>
      <c r="AV13" s="1">
        <f>SUM(CONTRATACION!AV9:AV12)</f>
        <v>1</v>
      </c>
      <c r="AW13" s="1">
        <f>SUM(CONTRATACION!AW9:AW12)</f>
        <v>0</v>
      </c>
      <c r="AX13" s="1">
        <f>SUM(CONTRATACION!AX9:AX12)</f>
        <v>4</v>
      </c>
      <c r="AY13" s="1">
        <f>SUM(CONTRATACION!AY9:AY12)</f>
        <v>3</v>
      </c>
      <c r="AZ13" s="1">
        <f>SUM(CONTRATACION!AZ9:AZ12)</f>
        <v>1</v>
      </c>
      <c r="BA13" s="1">
        <f>SUM(CONTRATACION!BA9:BA12)</f>
        <v>0</v>
      </c>
      <c r="BB13" s="1">
        <f>SUM(CONTRATACION!BB9:BB12)</f>
        <v>4</v>
      </c>
      <c r="BC13" s="1">
        <f>SUM(CONTRATACION!BC9:BC12)</f>
        <v>3</v>
      </c>
      <c r="BD13" s="1">
        <f>SUM(CONTRATACION!BD9:BD12)</f>
        <v>1</v>
      </c>
      <c r="BE13" s="1">
        <f>SUM(CONTRATACION!BE9:BE12)</f>
        <v>0</v>
      </c>
      <c r="BF13" s="1">
        <f>SUM(CONTRATACION!BF9:BF12)</f>
        <v>4</v>
      </c>
      <c r="BG13" s="1">
        <f>SUM(CONTRATACION!BG9:BG12)</f>
        <v>3</v>
      </c>
      <c r="BH13" s="1">
        <f>SUM(CONTRATACION!BH9:BH12)</f>
        <v>1</v>
      </c>
      <c r="BI13" s="1">
        <f>SUM(CONTRATACION!BI9:BI12)</f>
        <v>0</v>
      </c>
      <c r="BJ13" s="1">
        <f>SUM(CONTRATACION!BJ9:BJ12)</f>
        <v>4</v>
      </c>
      <c r="BK13" s="1">
        <f>SUM(CONTRATACION!BK9:BK12)</f>
        <v>4</v>
      </c>
      <c r="BL13" s="1">
        <f>SUM(CONTRATACION!BL9:BL12)</f>
        <v>1</v>
      </c>
      <c r="BM13" s="1">
        <f>SUM(CONTRATACION!BM9:BM12)</f>
        <v>0</v>
      </c>
      <c r="BN13" s="1">
        <f>SUM(CONTRATACION!BN9:BN12)</f>
        <v>3</v>
      </c>
      <c r="BO13" s="1">
        <f>SUM(CONTRATACION!BO9:BO12)</f>
        <v>2</v>
      </c>
      <c r="BP13" s="1">
        <f>SUM(CONTRATACION!BP9:BP12)</f>
        <v>1</v>
      </c>
      <c r="BQ13" s="1">
        <f>SUM(CONTRATACION!BQ9:BQ12)</f>
        <v>0</v>
      </c>
      <c r="BR13" s="1">
        <f>SUM(CONTRATACION!BR9:BR12)</f>
        <v>2</v>
      </c>
      <c r="BS13" s="1">
        <f>SUM(CONTRATACION!BS9:BS12)</f>
        <v>3</v>
      </c>
      <c r="BT13" s="1">
        <f>SUM(CONTRATACION!BT9:BT12)</f>
        <v>1</v>
      </c>
      <c r="BU13" s="1">
        <f>SUM(CONTRATACION!BU9:BU12)</f>
        <v>0</v>
      </c>
      <c r="BV13" s="1">
        <f>SUM(CONTRATACION!BV9:BV12)</f>
        <v>2</v>
      </c>
      <c r="BW13" s="1">
        <f>SUM(CONTRATACION!BW9:BW12)</f>
        <v>3</v>
      </c>
      <c r="BX13" s="1">
        <f>SUM(CONTRATACION!BX9:BX12)</f>
        <v>1</v>
      </c>
      <c r="BY13" s="1">
        <f>SUM(CONTRATACION!BY9:BY12)</f>
        <v>0</v>
      </c>
      <c r="BZ13" s="1">
        <f>SUM(CONTRATACION!BZ9:BZ12)</f>
        <v>3</v>
      </c>
      <c r="CA13" s="1">
        <f>SUM(CONTRATACION!CA9:CA12)</f>
        <v>4</v>
      </c>
      <c r="CB13" s="1">
        <f>SUM(CONTRATACION!CB9:CB12)</f>
        <v>1</v>
      </c>
      <c r="CC13" s="1">
        <f>SUM(CONTRATACION!CC9:CC12)</f>
        <v>0</v>
      </c>
      <c r="CD13" s="1">
        <f>SUM(CONTRATACION!CD9:CD12)</f>
        <v>5</v>
      </c>
      <c r="CE13" s="1">
        <f>SUM(CONTRATACION!CE9:CE12)</f>
        <v>4</v>
      </c>
      <c r="CF13" s="1">
        <f>SUM(CONTRATACION!CF9:CF12)</f>
        <v>1</v>
      </c>
      <c r="CG13" s="1">
        <f>SUM(CONTRATACION!CG9:CG12)</f>
        <v>0</v>
      </c>
      <c r="CH13" s="1">
        <f>SUM(CONTRATACION!CH9:CH12)</f>
        <v>4</v>
      </c>
      <c r="CI13" s="1">
        <f>SUM(CONTRATACION!CI9:CI12)</f>
        <v>3</v>
      </c>
      <c r="CJ13" s="1">
        <f>SUM(CONTRATACION!CJ9:CJ12)</f>
        <v>1</v>
      </c>
      <c r="CK13" s="1">
        <f>SUM(CONTRATACION!CK9:CK12)</f>
        <v>0</v>
      </c>
      <c r="CL13" s="1">
        <f>SUM(CONTRATACION!CL9:CL12)</f>
        <v>4</v>
      </c>
      <c r="CM13" s="1">
        <f>SUM(CONTRATACION!CM9:CM12)</f>
        <v>4</v>
      </c>
      <c r="CN13" s="1">
        <f>SUM(CONTRATACION!CN9:CN12)</f>
        <v>1</v>
      </c>
      <c r="CO13" s="1">
        <f>SUM(CONTRATACION!CO9:CO12)</f>
        <v>0</v>
      </c>
      <c r="CP13" s="1">
        <f>SUM(CONTRATACION!CP9:CP12)</f>
        <v>3</v>
      </c>
      <c r="CQ13" s="1">
        <f>SUM(CONTRATACION!CQ9:CQ12)</f>
        <v>5</v>
      </c>
      <c r="CR13" s="1">
        <f>SUM(CONTRATACION!CR9:CR12)</f>
        <v>1</v>
      </c>
      <c r="CS13" s="1">
        <f>SUM(CONTRATACION!CS9:CS12)</f>
        <v>0</v>
      </c>
      <c r="CT13" s="1">
        <f>SUM(CONTRATACION!CT9:CT12)</f>
        <v>3</v>
      </c>
      <c r="CU13" s="1">
        <f>SUM(CONTRATACION!CU9:CU12)</f>
        <v>1</v>
      </c>
      <c r="CV13" s="1">
        <f>SUM(CONTRATACION!CV9:CV12)</f>
        <v>1</v>
      </c>
      <c r="CW13" s="1">
        <f>SUM(CONTRATACION!CW9:CW12)</f>
        <v>0</v>
      </c>
      <c r="CX13" s="1">
        <f>SUM(CONTRATACION!CX9:CX12)</f>
        <v>3</v>
      </c>
      <c r="CY13" s="1">
        <f>SUM(CONTRATACION!CY9:CY12)</f>
        <v>1</v>
      </c>
      <c r="CZ13" s="1">
        <f>SUM(CONTRATACION!CZ9:CZ12)</f>
        <v>1</v>
      </c>
      <c r="DA13" s="1">
        <f>SUM(CONTRATACION!DA9:DA12)</f>
        <v>0</v>
      </c>
      <c r="DB13" s="1">
        <f>SUM(CONTRATACION!DB9:DB12)</f>
        <v>2</v>
      </c>
      <c r="DC13" s="1">
        <f>SUM(CONTRATACION!DC9:DC12)</f>
        <v>4</v>
      </c>
      <c r="DD13" s="1">
        <f>SUM(CONTRATACION!DD9:DD12)</f>
        <v>1</v>
      </c>
      <c r="DE13" s="1">
        <f>SUM(CONTRATACION!DE9:DE12)</f>
        <v>0</v>
      </c>
      <c r="DF13" s="1">
        <f>SUM(CONTRATACION!DF9:DF12)</f>
        <v>4</v>
      </c>
      <c r="DG13" s="1">
        <f>SUM(CONTRATACION!DG9:DG12)</f>
        <v>4</v>
      </c>
      <c r="DH13" s="1">
        <f>SUM(CONTRATACION!DH9:DH12)</f>
        <v>1</v>
      </c>
      <c r="DI13" s="1">
        <f>SUM(CONTRATACION!DI9:DI12)</f>
        <v>0</v>
      </c>
      <c r="DJ13" s="1">
        <f>SUM(CONTRATACION!DJ9:DJ12)</f>
        <v>4</v>
      </c>
      <c r="DK13" s="1">
        <f>SUM(CONTRATACION!DK9:DK12)</f>
        <v>5</v>
      </c>
      <c r="DL13" s="1">
        <f>SUM(CONTRATACION!DL9:DL12)</f>
        <v>1</v>
      </c>
      <c r="DM13" s="1">
        <f>SUM(CONTRATACION!DM9:DM12)</f>
        <v>0</v>
      </c>
      <c r="DN13" s="1">
        <f>SUM(CONTRATACION!DN9:DN12)</f>
        <v>4</v>
      </c>
      <c r="DO13" s="1">
        <f>SUM(CONTRATACION!DO9:DO12)</f>
        <v>3</v>
      </c>
      <c r="DP13" s="1">
        <f>SUM(CONTRATACION!DP9:DP12)</f>
        <v>1</v>
      </c>
      <c r="DQ13" s="1">
        <f>SUM(CONTRATACION!DQ9:DQ12)</f>
        <v>0</v>
      </c>
    </row>
    <row r="14" spans="1:125">
      <c r="R14" s="11"/>
      <c r="U14" s="12"/>
      <c r="V14" s="11"/>
      <c r="Y14" s="12"/>
      <c r="Z14" s="11"/>
      <c r="AC14" s="12"/>
      <c r="AD14" s="11"/>
      <c r="AG14" s="12"/>
      <c r="AH14" s="11"/>
      <c r="AK14" s="12"/>
    </row>
    <row r="15" spans="1:125">
      <c r="R15" s="11"/>
      <c r="U15" s="12"/>
      <c r="V15" s="11"/>
      <c r="Y15" s="12"/>
      <c r="Z15" s="11"/>
      <c r="AC15" s="12"/>
      <c r="AD15" s="11"/>
      <c r="AG15" s="12"/>
      <c r="AH15" s="11"/>
      <c r="AK15" s="12"/>
    </row>
    <row r="16" spans="1:125">
      <c r="R16" s="11"/>
      <c r="U16" s="12"/>
      <c r="V16" s="11"/>
      <c r="Y16" s="12"/>
      <c r="Z16" s="11"/>
      <c r="AC16" s="12"/>
      <c r="AD16" s="11"/>
      <c r="AG16" s="12"/>
      <c r="AH16" s="11"/>
      <c r="AK16" s="12"/>
    </row>
    <row r="17" spans="1:123">
      <c r="A17" s="2" t="s">
        <v>47</v>
      </c>
      <c r="B17" s="1">
        <f>CONTRATACION!B13-CONTRATACION!B7</f>
        <v>1</v>
      </c>
      <c r="C17" s="1">
        <f>CONTRATACION!C13-CONTRATACION!C7</f>
        <v>0</v>
      </c>
      <c r="D17" s="1">
        <f>CONTRATACION!D13-CONTRATACION!D7</f>
        <v>0</v>
      </c>
      <c r="E17" s="1">
        <f>CONTRATACION!E13-CONTRATACION!E7</f>
        <v>-1</v>
      </c>
      <c r="F17" s="1">
        <f>CONTRATACION!F13-CONTRATACION!F7</f>
        <v>2</v>
      </c>
      <c r="G17" s="1">
        <f>CONTRATACION!G13-CONTRATACION!G7</f>
        <v>0</v>
      </c>
      <c r="H17" s="1">
        <f>CONTRATACION!H13-CONTRATACION!H7</f>
        <v>0</v>
      </c>
      <c r="I17" s="1">
        <f>CONTRATACION!I13-CONTRATACION!I7</f>
        <v>-1</v>
      </c>
      <c r="J17" s="1">
        <f>CONTRATACION!J13-CONTRATACION!J7</f>
        <v>1</v>
      </c>
      <c r="K17" s="1">
        <f>CONTRATACION!K13-CONTRATACION!K7</f>
        <v>0</v>
      </c>
      <c r="L17" s="1">
        <f>CONTRATACION!L13-CONTRATACION!L7</f>
        <v>0</v>
      </c>
      <c r="M17" s="1">
        <f>CONTRATACION!M13-CONTRATACION!M7</f>
        <v>-1</v>
      </c>
      <c r="N17" s="1">
        <f>CONTRATACION!N13-CONTRATACION!N7</f>
        <v>0</v>
      </c>
      <c r="O17" s="1">
        <f>CONTRATACION!O13-CONTRATACION!O7</f>
        <v>1</v>
      </c>
      <c r="P17" s="1">
        <f>CONTRATACION!P13-CONTRATACION!P7</f>
        <v>0</v>
      </c>
      <c r="Q17" s="1">
        <f>CONTRATACION!Q13-CONTRATACION!Q7</f>
        <v>-1</v>
      </c>
      <c r="R17" s="1">
        <f>CONTRATACION!R13-CONTRATACION!R7</f>
        <v>1</v>
      </c>
      <c r="S17" s="1">
        <f>CONTRATACION!S13-CONTRATACION!S7</f>
        <v>0</v>
      </c>
      <c r="T17" s="1">
        <f>CONTRATACION!T13-CONTRATACION!T7</f>
        <v>0</v>
      </c>
      <c r="U17" s="1">
        <f>CONTRATACION!U13-CONTRATACION!U7</f>
        <v>-1</v>
      </c>
      <c r="V17" s="1">
        <f>CONTRATACION!V13-CONTRATACION!V7</f>
        <v>1</v>
      </c>
      <c r="W17" s="1">
        <f>CONTRATACION!W13-CONTRATACION!W7</f>
        <v>0</v>
      </c>
      <c r="X17" s="1">
        <f>CONTRATACION!X13-CONTRATACION!X7</f>
        <v>0</v>
      </c>
      <c r="Y17" s="1">
        <f>CONTRATACION!Y13-CONTRATACION!Y7</f>
        <v>-1</v>
      </c>
      <c r="Z17" s="1">
        <f>CONTRATACION!Z13-CONTRATACION!Z7</f>
        <v>1</v>
      </c>
      <c r="AA17" s="1">
        <f>CONTRATACION!AA13-CONTRATACION!AA7</f>
        <v>0</v>
      </c>
      <c r="AB17" s="1">
        <f>CONTRATACION!AB13-CONTRATACION!AB7</f>
        <v>0</v>
      </c>
      <c r="AC17" s="1">
        <f>CONTRATACION!AC13-CONTRATACION!AC7</f>
        <v>-1</v>
      </c>
      <c r="AD17" s="1">
        <f>CONTRATACION!AD13-CONTRATACION!AD7</f>
        <v>1</v>
      </c>
      <c r="AE17" s="1">
        <f>CONTRATACION!AE13-CONTRATACION!AE7</f>
        <v>0</v>
      </c>
      <c r="AF17" s="1">
        <f>CONTRATACION!AF13-CONTRATACION!AF7</f>
        <v>0</v>
      </c>
      <c r="AG17" s="1">
        <f>CONTRATACION!AG13-CONTRATACION!AG7</f>
        <v>-1</v>
      </c>
      <c r="AH17" s="1">
        <f>CONTRATACION!AH13-CONTRATACION!AH7</f>
        <v>1</v>
      </c>
      <c r="AI17" s="1">
        <f>CONTRATACION!AI13-CONTRATACION!AI7</f>
        <v>0</v>
      </c>
      <c r="AJ17" s="1">
        <f>CONTRATACION!AJ13-CONTRATACION!AJ7</f>
        <v>0</v>
      </c>
      <c r="AK17" s="1">
        <f>CONTRATACION!AK13-CONTRATACION!AK7</f>
        <v>-1</v>
      </c>
      <c r="AL17" s="1">
        <f>CONTRATACION!AL13-CONTRATACION!AL7</f>
        <v>1</v>
      </c>
      <c r="AM17" s="1">
        <f>CONTRATACION!AM13-CONTRATACION!AM7</f>
        <v>0</v>
      </c>
      <c r="AN17" s="1">
        <f>CONTRATACION!AN13-CONTRATACION!AN7</f>
        <v>0</v>
      </c>
      <c r="AO17" s="1">
        <f>CONTRATACION!AO13-CONTRATACION!AO7</f>
        <v>-1</v>
      </c>
      <c r="AP17" s="1">
        <f>CONTRATACION!AP13-CONTRATACION!AP7</f>
        <v>1</v>
      </c>
      <c r="AQ17" s="1">
        <f>CONTRATACION!AQ13-CONTRATACION!AQ7</f>
        <v>0</v>
      </c>
      <c r="AR17" s="1">
        <f>CONTRATACION!AR13-CONTRATACION!AR7</f>
        <v>0</v>
      </c>
      <c r="AS17" s="1">
        <f>CONTRATACION!AS13-CONTRATACION!AS7</f>
        <v>-1</v>
      </c>
      <c r="AT17" s="1">
        <f>CONTRATACION!AT13-CONTRATACION!AT7</f>
        <v>1</v>
      </c>
      <c r="AU17" s="1">
        <f>CONTRATACION!AU13-CONTRATACION!AU7</f>
        <v>0</v>
      </c>
      <c r="AV17" s="1">
        <f>CONTRATACION!AV13-CONTRATACION!AV7</f>
        <v>0</v>
      </c>
      <c r="AW17" s="1">
        <f>CONTRATACION!AW13-CONTRATACION!AW7</f>
        <v>-1</v>
      </c>
      <c r="AX17" s="1">
        <f>CONTRATACION!AX13-CONTRATACION!AX7</f>
        <v>1</v>
      </c>
      <c r="AY17" s="1">
        <f>CONTRATACION!AY13-CONTRATACION!AY7</f>
        <v>0</v>
      </c>
      <c r="AZ17" s="1">
        <f>CONTRATACION!AZ13-CONTRATACION!AZ7</f>
        <v>0</v>
      </c>
      <c r="BA17" s="1">
        <f>CONTRATACION!BA13-CONTRATACION!BA7</f>
        <v>-1</v>
      </c>
      <c r="BB17" s="1">
        <f>CONTRATACION!BB13-CONTRATACION!BB7</f>
        <v>1</v>
      </c>
      <c r="BC17" s="1">
        <f>CONTRATACION!BC13-CONTRATACION!BC7</f>
        <v>0</v>
      </c>
      <c r="BD17" s="1">
        <f>CONTRATACION!BD13-CONTRATACION!BD7</f>
        <v>0</v>
      </c>
      <c r="BE17" s="1">
        <f>CONTRATACION!BE13-CONTRATACION!BE7</f>
        <v>-1</v>
      </c>
      <c r="BF17" s="1">
        <f>CONTRATACION!BF13-CONTRATACION!BF7</f>
        <v>1</v>
      </c>
      <c r="BG17" s="1">
        <f>CONTRATACION!BG13-CONTRATACION!BG7</f>
        <v>0</v>
      </c>
      <c r="BH17" s="1">
        <f>CONTRATACION!BH13-CONTRATACION!BH7</f>
        <v>0</v>
      </c>
      <c r="BI17" s="1">
        <f>CONTRATACION!BI13-CONTRATACION!BI7</f>
        <v>-1</v>
      </c>
      <c r="BJ17" s="1">
        <f>CONTRATACION!BJ13-CONTRATACION!BJ7</f>
        <v>1</v>
      </c>
      <c r="BK17" s="1">
        <f>CONTRATACION!BK13-CONTRATACION!BK7</f>
        <v>1</v>
      </c>
      <c r="BL17" s="1">
        <f>CONTRATACION!BL13-CONTRATACION!BL7</f>
        <v>0</v>
      </c>
      <c r="BM17" s="1">
        <f>CONTRATACION!BM13-CONTRATACION!BM7</f>
        <v>-1</v>
      </c>
      <c r="BN17" s="1">
        <f>CONTRATACION!BN13-CONTRATACION!BN7</f>
        <v>0</v>
      </c>
      <c r="BO17" s="1">
        <f>CONTRATACION!BO13-CONTRATACION!BO7</f>
        <v>-1</v>
      </c>
      <c r="BP17" s="1">
        <f>CONTRATACION!BP13-CONTRATACION!BP7</f>
        <v>0</v>
      </c>
      <c r="BQ17" s="1">
        <f>CONTRATACION!BQ13-CONTRATACION!BQ7</f>
        <v>-1</v>
      </c>
      <c r="BR17" s="1">
        <f>CONTRATACION!BR13-CONTRATACION!BR7</f>
        <v>0</v>
      </c>
      <c r="BS17" s="1">
        <f>CONTRATACION!BS13-CONTRATACION!BS7</f>
        <v>2</v>
      </c>
      <c r="BT17" s="1">
        <f>CONTRATACION!BT13-CONTRATACION!BT7</f>
        <v>0</v>
      </c>
      <c r="BU17" s="1">
        <f>CONTRATACION!BU13-CONTRATACION!BU7</f>
        <v>-1</v>
      </c>
      <c r="BV17" s="1">
        <f>CONTRATACION!BV13-CONTRATACION!BV7</f>
        <v>0</v>
      </c>
      <c r="BW17" s="1">
        <f>CONTRATACION!BW13-CONTRATACION!BW7</f>
        <v>2</v>
      </c>
      <c r="BX17" s="1">
        <f>CONTRATACION!BX13-CONTRATACION!BX7</f>
        <v>0</v>
      </c>
      <c r="BY17" s="1">
        <f>CONTRATACION!BY13-CONTRATACION!BY7</f>
        <v>-1</v>
      </c>
      <c r="BZ17" s="1">
        <f>CONTRATACION!BZ13-CONTRATACION!BZ7</f>
        <v>0</v>
      </c>
      <c r="CA17" s="1">
        <f>CONTRATACION!CA13-CONTRATACION!CA7</f>
        <v>1</v>
      </c>
      <c r="CB17" s="1">
        <f>CONTRATACION!CB13-CONTRATACION!CB7</f>
        <v>0</v>
      </c>
      <c r="CC17" s="1">
        <f>CONTRATACION!CC13-CONTRATACION!CC7</f>
        <v>-1</v>
      </c>
      <c r="CD17" s="1">
        <f>CONTRATACION!CD13-CONTRATACION!CD7</f>
        <v>2</v>
      </c>
      <c r="CE17" s="1">
        <f>CONTRATACION!CE13-CONTRATACION!CE7</f>
        <v>1</v>
      </c>
      <c r="CF17" s="1">
        <f>CONTRATACION!CF13-CONTRATACION!CF7</f>
        <v>0</v>
      </c>
      <c r="CG17" s="1">
        <f>CONTRATACION!CG13-CONTRATACION!CG7</f>
        <v>-1</v>
      </c>
      <c r="CH17" s="1">
        <f>CONTRATACION!CH13-CONTRATACION!CH7</f>
        <v>1</v>
      </c>
      <c r="CI17" s="1">
        <f>CONTRATACION!CI13-CONTRATACION!CI7</f>
        <v>0</v>
      </c>
      <c r="CJ17" s="1">
        <f>CONTRATACION!CJ13-CONTRATACION!CJ7</f>
        <v>0</v>
      </c>
      <c r="CK17" s="1">
        <f>CONTRATACION!CK13-CONTRATACION!CK7</f>
        <v>-1</v>
      </c>
      <c r="CL17" s="1">
        <f>CONTRATACION!CL13-CONTRATACION!CL7</f>
        <v>1</v>
      </c>
      <c r="CM17" s="1">
        <f>CONTRATACION!CM13-CONTRATACION!CM7</f>
        <v>1</v>
      </c>
      <c r="CN17" s="1">
        <f>CONTRATACION!CN13-CONTRATACION!CN7</f>
        <v>0</v>
      </c>
      <c r="CO17" s="1">
        <f>CONTRATACION!CO13-CONTRATACION!CO7</f>
        <v>-1</v>
      </c>
      <c r="CP17" s="1">
        <f>CONTRATACION!CP13-CONTRATACION!CP7</f>
        <v>0</v>
      </c>
      <c r="CQ17" s="1">
        <f>CONTRATACION!CQ13-CONTRATACION!CQ7</f>
        <v>2</v>
      </c>
      <c r="CR17" s="1">
        <f>CONTRATACION!CR13-CONTRATACION!CR7</f>
        <v>0</v>
      </c>
      <c r="CS17" s="1">
        <f>CONTRATACION!CS13-CONTRATACION!CS7</f>
        <v>-1</v>
      </c>
      <c r="CT17" s="1">
        <f>CONTRATACION!CT13-CONTRATACION!CT7</f>
        <v>1</v>
      </c>
      <c r="CU17" s="1">
        <f>CONTRATACION!CU13-CONTRATACION!CU7</f>
        <v>0</v>
      </c>
      <c r="CV17" s="1">
        <f>CONTRATACION!CV13-CONTRATACION!CV7</f>
        <v>0</v>
      </c>
      <c r="CW17" s="1">
        <f>CONTRATACION!CW13-CONTRATACION!CW7</f>
        <v>-1</v>
      </c>
      <c r="CX17" s="1">
        <f>CONTRATACION!CX13-CONTRATACION!CX7</f>
        <v>1</v>
      </c>
      <c r="CY17" s="1">
        <f>CONTRATACION!CY13-CONTRATACION!CY7</f>
        <v>0</v>
      </c>
      <c r="CZ17" s="1">
        <f>CONTRATACION!CZ13-CONTRATACION!CZ7</f>
        <v>0</v>
      </c>
      <c r="DA17" s="1">
        <f>CONTRATACION!DA13-CONTRATACION!DA7</f>
        <v>-1</v>
      </c>
      <c r="DB17" s="1">
        <f>CONTRATACION!DB13-CONTRATACION!DB7</f>
        <v>-1</v>
      </c>
      <c r="DC17" s="1">
        <f>CONTRATACION!DC13-CONTRATACION!DC7</f>
        <v>1</v>
      </c>
      <c r="DD17" s="1">
        <f>CONTRATACION!DD13-CONTRATACION!DD7</f>
        <v>0</v>
      </c>
      <c r="DE17" s="1">
        <f>CONTRATACION!DE13-CONTRATACION!DE7</f>
        <v>-1</v>
      </c>
      <c r="DF17" s="1">
        <f>CONTRATACION!DF13-CONTRATACION!DF7</f>
        <v>1</v>
      </c>
      <c r="DG17" s="1">
        <f>CONTRATACION!DG13-CONTRATACION!DG7</f>
        <v>1</v>
      </c>
      <c r="DH17" s="1">
        <f>CONTRATACION!DH13-CONTRATACION!DH7</f>
        <v>0</v>
      </c>
      <c r="DI17" s="1">
        <f>CONTRATACION!DI13-CONTRATACION!DI7</f>
        <v>-1</v>
      </c>
      <c r="DJ17" s="1">
        <f>CONTRATACION!DJ13-CONTRATACION!DJ7</f>
        <v>1</v>
      </c>
      <c r="DK17" s="1">
        <f>CONTRATACION!DK13-CONTRATACION!DK7</f>
        <v>2</v>
      </c>
      <c r="DL17" s="1">
        <f>CONTRATACION!DL13-CONTRATACION!DL7</f>
        <v>0</v>
      </c>
      <c r="DM17" s="1">
        <f>CONTRATACION!DM13-CONTRATACION!DM7</f>
        <v>-1</v>
      </c>
      <c r="DN17" s="1">
        <f>CONTRATACION!DN13-CONTRATACION!DN7</f>
        <v>1</v>
      </c>
      <c r="DO17" s="1">
        <f>CONTRATACION!DO13-CONTRATACION!DO7</f>
        <v>0</v>
      </c>
      <c r="DP17" s="1">
        <f>CONTRATACION!DP13-CONTRATACION!DP7</f>
        <v>0</v>
      </c>
      <c r="DQ17" s="1">
        <f>CONTRATACION!DQ13-CONTRATACION!DQ7</f>
        <v>-1</v>
      </c>
    </row>
    <row r="18" spans="1:123">
      <c r="R18" s="11"/>
      <c r="U18" s="12"/>
      <c r="V18" s="11"/>
      <c r="Y18" s="12"/>
      <c r="Z18" s="11"/>
      <c r="AC18" s="12"/>
      <c r="AD18" s="11"/>
      <c r="AG18" s="12"/>
      <c r="AH18" s="11"/>
      <c r="AK18" s="12"/>
    </row>
    <row r="19" spans="1:123">
      <c r="A19" s="2" t="s">
        <v>48</v>
      </c>
      <c r="B19" s="69">
        <f>SUM(CONTRATACION!B17:E17)</f>
        <v>0</v>
      </c>
      <c r="C19" s="69"/>
      <c r="D19" s="69"/>
      <c r="E19" s="69"/>
      <c r="F19" s="69">
        <f>SUM(CONTRATACION!F17:I17)</f>
        <v>1</v>
      </c>
      <c r="G19" s="69"/>
      <c r="H19" s="69"/>
      <c r="I19" s="69"/>
      <c r="J19" s="69">
        <f>SUM(CONTRATACION!J17:M17)</f>
        <v>0</v>
      </c>
      <c r="K19" s="69"/>
      <c r="L19" s="69"/>
      <c r="M19" s="69"/>
      <c r="N19" s="69">
        <f>SUM(CONTRATACION!N17:Q17)</f>
        <v>0</v>
      </c>
      <c r="O19" s="69"/>
      <c r="P19" s="69"/>
      <c r="Q19" s="69"/>
      <c r="R19" s="72">
        <f>SUM(CONTRATACION!R17:U17)</f>
        <v>0</v>
      </c>
      <c r="S19" s="72"/>
      <c r="T19" s="72"/>
      <c r="U19" s="72"/>
      <c r="V19" s="72">
        <f>SUM(CONTRATACION!V17:Y17)</f>
        <v>0</v>
      </c>
      <c r="W19" s="72"/>
      <c r="X19" s="72"/>
      <c r="Y19" s="72"/>
      <c r="Z19" s="72">
        <f>SUM(CONTRATACION!Z17:AC17)</f>
        <v>0</v>
      </c>
      <c r="AA19" s="72">
        <f>SUM(CONTRATACION!AA17:AD17)</f>
        <v>0</v>
      </c>
      <c r="AB19" s="72">
        <f>SUM(CONTRATACION!AB17:AE17)</f>
        <v>0</v>
      </c>
      <c r="AC19" s="72">
        <f>SUM(CONTRATACION!AC17:AF17)</f>
        <v>0</v>
      </c>
      <c r="AD19" s="72">
        <f>SUM(CONTRATACION!AD17:AG17)</f>
        <v>0</v>
      </c>
      <c r="AE19" s="72">
        <f>SUM(CONTRATACION!AE17:AH17)</f>
        <v>0</v>
      </c>
      <c r="AF19" s="72">
        <f>SUM(CONTRATACION!AF17:AI17)</f>
        <v>0</v>
      </c>
      <c r="AG19" s="72">
        <f>SUM(CONTRATACION!AG17:AJ17)</f>
        <v>0</v>
      </c>
      <c r="AH19" s="72">
        <f>SUM(CONTRATACION!AH17:AK17)</f>
        <v>0</v>
      </c>
      <c r="AI19" s="72"/>
      <c r="AJ19" s="72"/>
      <c r="AK19" s="72"/>
      <c r="AL19" s="69">
        <f>SUM(CONTRATACION!AL17:AO17)</f>
        <v>0</v>
      </c>
      <c r="AM19" s="69"/>
      <c r="AN19" s="69"/>
      <c r="AO19" s="69"/>
      <c r="AP19" s="69">
        <f>SUM(CONTRATACION!AP17:AS17)</f>
        <v>0</v>
      </c>
      <c r="AQ19" s="69"/>
      <c r="AR19" s="69"/>
      <c r="AS19" s="69"/>
      <c r="AT19" s="69">
        <f>SUM(CONTRATACION!AT17:AW17)</f>
        <v>0</v>
      </c>
      <c r="AU19" s="69"/>
      <c r="AV19" s="69"/>
      <c r="AW19" s="69"/>
      <c r="AX19" s="69">
        <f>SUM(CONTRATACION!AX17:BA17)</f>
        <v>0</v>
      </c>
      <c r="AY19" s="69"/>
      <c r="AZ19" s="69"/>
      <c r="BA19" s="69"/>
      <c r="BB19" s="69">
        <f>SUM(CONTRATACION!BB17:BE17)</f>
        <v>0</v>
      </c>
      <c r="BC19" s="69"/>
      <c r="BD19" s="69"/>
      <c r="BE19" s="69"/>
      <c r="BF19" s="69">
        <f>SUM(CONTRATACION!BF17:BI17)</f>
        <v>0</v>
      </c>
      <c r="BG19" s="69"/>
      <c r="BH19" s="69"/>
      <c r="BI19" s="69"/>
      <c r="BJ19" s="69">
        <f>SUM(CONTRATACION!BJ17:BM17)</f>
        <v>1</v>
      </c>
      <c r="BK19" s="69"/>
      <c r="BL19" s="69"/>
      <c r="BM19" s="69"/>
      <c r="BN19" s="69">
        <f>SUM(CONTRATACION!BN17:BQ17)</f>
        <v>-2</v>
      </c>
      <c r="BO19" s="69"/>
      <c r="BP19" s="69"/>
      <c r="BQ19" s="69"/>
      <c r="BR19" s="69">
        <f>SUM(CONTRATACION!BR17:BU17)</f>
        <v>1</v>
      </c>
      <c r="BS19" s="69"/>
      <c r="BT19" s="69"/>
      <c r="BU19" s="69"/>
      <c r="BV19" s="69">
        <f>SUM(CONTRATACION!BV17:BY17)</f>
        <v>1</v>
      </c>
      <c r="BW19" s="69"/>
      <c r="BX19" s="69"/>
      <c r="BY19" s="69"/>
      <c r="BZ19" s="69">
        <f>SUM(CONTRATACION!BZ17:CC17)</f>
        <v>0</v>
      </c>
      <c r="CA19" s="69"/>
      <c r="CB19" s="69"/>
      <c r="CC19" s="69"/>
      <c r="CD19" s="69">
        <f>SUM(CONTRATACION!CD17:CG17)</f>
        <v>2</v>
      </c>
      <c r="CE19" s="69"/>
      <c r="CF19" s="69"/>
      <c r="CG19" s="69"/>
      <c r="CH19" s="69">
        <f>SUM(CONTRATACION!CH17:CK17)</f>
        <v>0</v>
      </c>
      <c r="CI19" s="69"/>
      <c r="CJ19" s="69"/>
      <c r="CK19" s="69"/>
      <c r="CL19" s="69">
        <f>SUM(CONTRATACION!CL17:CO17)</f>
        <v>1</v>
      </c>
      <c r="CM19" s="69"/>
      <c r="CN19" s="69"/>
      <c r="CO19" s="69"/>
      <c r="CP19" s="69">
        <f>SUM(CONTRATACION!CP17:CS17)</f>
        <v>1</v>
      </c>
      <c r="CQ19" s="69"/>
      <c r="CR19" s="69"/>
      <c r="CS19" s="69"/>
      <c r="CT19" s="69">
        <f>SUM(CONTRATACION!CT17:CW17)</f>
        <v>0</v>
      </c>
      <c r="CU19" s="69"/>
      <c r="CV19" s="69"/>
      <c r="CW19" s="69"/>
      <c r="CX19" s="69">
        <f>SUM(CONTRATACION!CX17:DA17)</f>
        <v>0</v>
      </c>
      <c r="CY19" s="69"/>
      <c r="CZ19" s="69"/>
      <c r="DA19" s="69"/>
      <c r="DB19" s="69">
        <f>SUM(CONTRATACION!DB17:DE17)</f>
        <v>-1</v>
      </c>
      <c r="DC19" s="69"/>
      <c r="DD19" s="69"/>
      <c r="DE19" s="69"/>
      <c r="DF19" s="69">
        <f>SUM(CONTRATACION!DF17:DI17)</f>
        <v>1</v>
      </c>
      <c r="DG19" s="69"/>
      <c r="DH19" s="69"/>
      <c r="DI19" s="69"/>
      <c r="DJ19" s="69">
        <f>SUM(CONTRATACION!DJ17:DM17)</f>
        <v>2</v>
      </c>
      <c r="DK19" s="69"/>
      <c r="DL19" s="69"/>
      <c r="DM19" s="69"/>
      <c r="DN19" s="69">
        <f>SUM(CONTRATACION!DN17:DQ17)</f>
        <v>0</v>
      </c>
      <c r="DO19" s="69"/>
      <c r="DP19" s="69"/>
      <c r="DQ19" s="69"/>
      <c r="DR19">
        <f>SUM(CONTRATACION!B19:DQ19)</f>
        <v>8</v>
      </c>
    </row>
    <row r="21" spans="1:123">
      <c r="DS21" s="2"/>
    </row>
    <row r="22" spans="1:123">
      <c r="A22" s="2" t="s">
        <v>15</v>
      </c>
      <c r="B22" s="69">
        <f>COUNTIF(ABRIL!C$3:C$29,"B")</f>
        <v>2</v>
      </c>
      <c r="C22" s="69"/>
      <c r="D22" s="69"/>
      <c r="E22" s="69"/>
      <c r="F22" s="69">
        <f>COUNTIF(ABRIL!D3:D$29,"B")</f>
        <v>2</v>
      </c>
      <c r="G22" s="69"/>
      <c r="H22" s="69"/>
      <c r="I22" s="69"/>
      <c r="J22" s="69">
        <f>COUNTIF(ABRIL!E$3:E$29,"B")</f>
        <v>1</v>
      </c>
      <c r="K22" s="69"/>
      <c r="L22" s="69"/>
      <c r="M22" s="69"/>
      <c r="N22" s="69">
        <f>COUNTIF(ABRIL!F$3:F$29,"B")</f>
        <v>1</v>
      </c>
      <c r="O22" s="69"/>
      <c r="P22" s="69"/>
      <c r="Q22" s="69"/>
      <c r="R22" s="69">
        <f>COUNTIF(ABRIL!G$3:G$29,"B")</f>
        <v>1</v>
      </c>
      <c r="S22" s="69"/>
      <c r="T22" s="69"/>
      <c r="U22" s="69"/>
      <c r="V22" s="69">
        <f>COUNTIF(ABRIL!H$3:H$29,"B")</f>
        <v>1</v>
      </c>
      <c r="W22" s="69"/>
      <c r="X22" s="69"/>
      <c r="Y22" s="69"/>
      <c r="Z22" s="69">
        <f>COUNTIF(ABRIL!I$3:I$29,"B")</f>
        <v>2</v>
      </c>
      <c r="AA22" s="69"/>
      <c r="AB22" s="69"/>
      <c r="AC22" s="69"/>
      <c r="AD22" s="69">
        <f>COUNTIF(ABRIL!J$3:J$29,"B")</f>
        <v>3</v>
      </c>
      <c r="AE22" s="69"/>
      <c r="AF22" s="69"/>
      <c r="AG22" s="69"/>
      <c r="AH22" s="69">
        <f>COUNTIF(ABRIL!K$3:K$29,"B")</f>
        <v>3</v>
      </c>
      <c r="AI22" s="69"/>
      <c r="AJ22" s="69"/>
      <c r="AK22" s="69"/>
      <c r="AL22" s="69">
        <f>COUNTIF(ABRIL!L$3:L$29,"B")</f>
        <v>1</v>
      </c>
      <c r="AM22" s="69"/>
      <c r="AN22" s="69"/>
      <c r="AO22" s="69"/>
      <c r="AP22" s="69">
        <f>COUNTIF(ABRIL!M$3:M$29,"B")</f>
        <v>2</v>
      </c>
      <c r="AQ22" s="69"/>
      <c r="AR22" s="69"/>
      <c r="AS22" s="69"/>
      <c r="AT22" s="69">
        <f>COUNTIF(ABRIL!N$3:N$29,"B")</f>
        <v>2</v>
      </c>
      <c r="AU22" s="69"/>
      <c r="AV22" s="69"/>
      <c r="AW22" s="69"/>
      <c r="AX22" s="69">
        <f>COUNTIF(ABRIL!O$3:O$29,"B")</f>
        <v>1</v>
      </c>
      <c r="AY22" s="69"/>
      <c r="AZ22" s="69"/>
      <c r="BA22" s="69"/>
      <c r="BB22" s="69">
        <f>COUNTIF(ABRIL!P$3:P$29,"B")</f>
        <v>3</v>
      </c>
      <c r="BC22" s="69"/>
      <c r="BD22" s="69"/>
      <c r="BE22" s="69"/>
      <c r="BF22" s="69">
        <f>COUNTIF(ABRIL!Q$3:Q$29,"B")</f>
        <v>2</v>
      </c>
      <c r="BG22" s="69"/>
      <c r="BH22" s="69"/>
      <c r="BI22" s="69"/>
      <c r="BJ22" s="69">
        <f>COUNTIF(ABRIL!R$3:R$29,"B")</f>
        <v>3</v>
      </c>
      <c r="BK22" s="69"/>
      <c r="BL22" s="69"/>
      <c r="BM22" s="69"/>
      <c r="BN22" s="69">
        <f>COUNTIF(ABRIL!S$3:S$29,"B")</f>
        <v>2</v>
      </c>
      <c r="BO22" s="69"/>
      <c r="BP22" s="69"/>
      <c r="BQ22" s="69"/>
      <c r="BR22" s="69">
        <f>COUNTIF(ABRIL!T$3:T$29,"B")</f>
        <v>1</v>
      </c>
      <c r="BS22" s="69"/>
      <c r="BT22" s="69"/>
      <c r="BU22" s="69"/>
      <c r="BV22" s="69">
        <f>COUNTIF(ABRIL!U$3:U$29,"B")</f>
        <v>1</v>
      </c>
      <c r="BW22" s="69"/>
      <c r="BX22" s="69"/>
      <c r="BY22" s="69"/>
      <c r="BZ22" s="69">
        <f>COUNTIF(ABRIL!V$3:V$29,"B")</f>
        <v>1</v>
      </c>
      <c r="CA22" s="69"/>
      <c r="CB22" s="69"/>
      <c r="CC22" s="69"/>
      <c r="CD22" s="69">
        <f>COUNTIF(ABRIL!W$3:W$29,"B")</f>
        <v>3</v>
      </c>
      <c r="CE22" s="69"/>
      <c r="CF22" s="69"/>
      <c r="CG22" s="69"/>
      <c r="CH22" s="69">
        <f>COUNTIF(ABRIL!X$3:X$29,"B")</f>
        <v>3</v>
      </c>
      <c r="CI22" s="69"/>
      <c r="CJ22" s="69"/>
      <c r="CK22" s="69"/>
      <c r="CL22" s="69">
        <f>COUNTIF(ABRIL!Y$3:Y$29,"B")</f>
        <v>2</v>
      </c>
      <c r="CM22" s="69"/>
      <c r="CN22" s="69"/>
      <c r="CO22" s="69"/>
      <c r="CP22" s="69">
        <f>COUNTIF(ABRIL!Z$3:Z$29,"B")</f>
        <v>2</v>
      </c>
      <c r="CQ22" s="69"/>
      <c r="CR22" s="69"/>
      <c r="CS22" s="69"/>
      <c r="CT22" s="69">
        <f>COUNTIF(ABRIL!AA$3:AA$29,"B")</f>
        <v>2</v>
      </c>
      <c r="CU22" s="69"/>
      <c r="CV22" s="69"/>
      <c r="CW22" s="69"/>
      <c r="CX22" s="69">
        <f>COUNTIF(ABRIL!AB$3:AB$29,"B")</f>
        <v>2</v>
      </c>
      <c r="CY22" s="69"/>
      <c r="CZ22" s="69"/>
      <c r="DA22" s="69"/>
      <c r="DB22" s="69">
        <f>COUNTIF(ABRIL!AC$3:AC$29,"B")</f>
        <v>2</v>
      </c>
      <c r="DC22" s="69"/>
      <c r="DD22" s="69"/>
      <c r="DE22" s="69"/>
      <c r="DF22" s="69">
        <f>COUNTIF(ABRIL!AD$3:AD$29,"B")</f>
        <v>2</v>
      </c>
      <c r="DG22" s="69"/>
      <c r="DH22" s="69"/>
      <c r="DI22" s="69"/>
      <c r="DJ22" s="69">
        <f>COUNTIF(ABRIL!AE$3:AE$29,"B")</f>
        <v>3</v>
      </c>
      <c r="DK22" s="69"/>
      <c r="DL22" s="69"/>
      <c r="DM22" s="69"/>
      <c r="DN22" s="69">
        <f>COUNTIF(ABRIL!AF$3:AF$29,"B")</f>
        <v>2</v>
      </c>
      <c r="DO22" s="69"/>
      <c r="DP22" s="69"/>
      <c r="DQ22" s="69"/>
      <c r="DR22">
        <f>SUM(CONTRATACION!B22:DQ22)</f>
        <v>58</v>
      </c>
      <c r="DS22" s="2" t="s">
        <v>15</v>
      </c>
    </row>
    <row r="23" spans="1:123">
      <c r="A23" s="2" t="s">
        <v>14</v>
      </c>
      <c r="B23" s="69">
        <f>COUNTIF(ABRIL!C$3:C$29,"V")</f>
        <v>0</v>
      </c>
      <c r="C23" s="69"/>
      <c r="D23" s="69"/>
      <c r="E23" s="69"/>
      <c r="F23" s="69">
        <f>COUNTIF(ABRIL!D$3:D$29,"V")</f>
        <v>0</v>
      </c>
      <c r="G23" s="69"/>
      <c r="H23" s="69"/>
      <c r="I23" s="69"/>
      <c r="J23" s="69">
        <f>COUNTIF(ABRIL!E$3:E$29,"V")</f>
        <v>0</v>
      </c>
      <c r="K23" s="69"/>
      <c r="L23" s="69"/>
      <c r="M23" s="69"/>
      <c r="N23" s="69">
        <f>COUNTIF(ABRIL!F$3:F$29,"V")</f>
        <v>0</v>
      </c>
      <c r="O23" s="69"/>
      <c r="P23" s="69"/>
      <c r="Q23" s="69"/>
      <c r="R23" s="69">
        <f>COUNTIF(ABRIL!G$3:G$29,"V")</f>
        <v>0</v>
      </c>
      <c r="S23" s="69"/>
      <c r="T23" s="69"/>
      <c r="U23" s="69"/>
      <c r="V23" s="69">
        <f>COUNTIF(ABRIL!H$3:H$29,"V")</f>
        <v>0</v>
      </c>
      <c r="W23" s="69"/>
      <c r="X23" s="69"/>
      <c r="Y23" s="69"/>
      <c r="Z23" s="69">
        <f>COUNTIF(ABRIL!I$3:I$29,"V")</f>
        <v>0</v>
      </c>
      <c r="AA23" s="69"/>
      <c r="AB23" s="69"/>
      <c r="AC23" s="69"/>
      <c r="AD23" s="69">
        <f>COUNTIF(ABRIL!J$3:J$29,"V")</f>
        <v>0</v>
      </c>
      <c r="AE23" s="69"/>
      <c r="AF23" s="69"/>
      <c r="AG23" s="69"/>
      <c r="AH23" s="69">
        <f>COUNTIF(ABRIL!K$3:K$29,"V")</f>
        <v>0</v>
      </c>
      <c r="AI23" s="69"/>
      <c r="AJ23" s="69"/>
      <c r="AK23" s="69"/>
      <c r="AL23" s="69">
        <f>COUNTIF(ABRIL!L$3:L$29,"V")</f>
        <v>0</v>
      </c>
      <c r="AM23" s="69"/>
      <c r="AN23" s="69"/>
      <c r="AO23" s="69"/>
      <c r="AP23" s="69">
        <f>COUNTIF(ABRIL!M$3:M$29,"V")</f>
        <v>0</v>
      </c>
      <c r="AQ23" s="69"/>
      <c r="AR23" s="69"/>
      <c r="AS23" s="69"/>
      <c r="AT23" s="69">
        <f>COUNTIF(ABRIL!N$3:N$29,"V")</f>
        <v>0</v>
      </c>
      <c r="AU23" s="69"/>
      <c r="AV23" s="69"/>
      <c r="AW23" s="69"/>
      <c r="AX23" s="69">
        <f>COUNTIF(ABRIL!O$3:O$29,"V")</f>
        <v>0</v>
      </c>
      <c r="AY23" s="69"/>
      <c r="AZ23" s="69"/>
      <c r="BA23" s="69"/>
      <c r="BB23" s="69">
        <f>COUNTIF(ABRIL!P$3:P$29,"V")</f>
        <v>0</v>
      </c>
      <c r="BC23" s="69"/>
      <c r="BD23" s="69"/>
      <c r="BE23" s="69"/>
      <c r="BF23" s="69">
        <f>COUNTIF(ABRIL!Q$3:Q$29,"V")</f>
        <v>0</v>
      </c>
      <c r="BG23" s="69"/>
      <c r="BH23" s="69"/>
      <c r="BI23" s="69"/>
      <c r="BJ23" s="69">
        <f>COUNTIF(ABRIL!R$3:R$29,"V")</f>
        <v>0</v>
      </c>
      <c r="BK23" s="69"/>
      <c r="BL23" s="69"/>
      <c r="BM23" s="69"/>
      <c r="BN23" s="69">
        <f>COUNTIF(ABRIL!S$3:S$29,"V")</f>
        <v>0</v>
      </c>
      <c r="BO23" s="69"/>
      <c r="BP23" s="69"/>
      <c r="BQ23" s="69"/>
      <c r="BR23" s="69">
        <f>COUNTIF(ABRIL!T$3:T$29,"V")</f>
        <v>0</v>
      </c>
      <c r="BS23" s="69"/>
      <c r="BT23" s="69"/>
      <c r="BU23" s="69"/>
      <c r="BV23" s="69">
        <f>COUNTIF(ABRIL!U$3:U$29,"V")</f>
        <v>0</v>
      </c>
      <c r="BW23" s="69"/>
      <c r="BX23" s="69"/>
      <c r="BY23" s="69"/>
      <c r="BZ23" s="69">
        <f>COUNTIF(ABRIL!V$3:V$29,"V")</f>
        <v>0</v>
      </c>
      <c r="CA23" s="69"/>
      <c r="CB23" s="69"/>
      <c r="CC23" s="69"/>
      <c r="CD23" s="69">
        <f>COUNTIF(ABRIL!W$3:W$29,"V")</f>
        <v>0</v>
      </c>
      <c r="CE23" s="69"/>
      <c r="CF23" s="69"/>
      <c r="CG23" s="69"/>
      <c r="CH23" s="69">
        <f>COUNTIF(ABRIL!X$3:X$29,"V")</f>
        <v>0</v>
      </c>
      <c r="CI23" s="69"/>
      <c r="CJ23" s="69"/>
      <c r="CK23" s="69"/>
      <c r="CL23" s="69">
        <f>COUNTIF(ABRIL!Y$3:Y$29,"V")</f>
        <v>0</v>
      </c>
      <c r="CM23" s="69"/>
      <c r="CN23" s="69"/>
      <c r="CO23" s="69"/>
      <c r="CP23" s="69">
        <f>COUNTIF(ABRIL!Z$3:Z$29,"V")</f>
        <v>0</v>
      </c>
      <c r="CQ23" s="69"/>
      <c r="CR23" s="69"/>
      <c r="CS23" s="69"/>
      <c r="CT23" s="69">
        <f>COUNTIF(ABRIL!AA$3:AA$29,"V")</f>
        <v>0</v>
      </c>
      <c r="CU23" s="69"/>
      <c r="CV23" s="69"/>
      <c r="CW23" s="69"/>
      <c r="CX23" s="69">
        <f>COUNTIF(ABRIL!AB$3:AB$29,"V")</f>
        <v>0</v>
      </c>
      <c r="CY23" s="69"/>
      <c r="CZ23" s="69"/>
      <c r="DA23" s="69"/>
      <c r="DB23" s="69">
        <f>COUNTIF(ABRIL!AC$3:AC$29,"V")</f>
        <v>0</v>
      </c>
      <c r="DC23" s="69"/>
      <c r="DD23" s="69"/>
      <c r="DE23" s="69"/>
      <c r="DF23" s="69">
        <f>COUNTIF(ABRIL!AD$3:AD$29,"V")</f>
        <v>0</v>
      </c>
      <c r="DG23" s="69"/>
      <c r="DH23" s="69"/>
      <c r="DI23" s="69"/>
      <c r="DJ23" s="69">
        <f>COUNTIF(ABRIL!AE$3:AE$29,"V")</f>
        <v>0</v>
      </c>
      <c r="DK23" s="69"/>
      <c r="DL23" s="69"/>
      <c r="DM23" s="69"/>
      <c r="DN23" s="69">
        <f>COUNTIF(ABRIL!AF$3:AF$29,"V")</f>
        <v>0</v>
      </c>
      <c r="DO23" s="69"/>
      <c r="DP23" s="69"/>
      <c r="DQ23" s="69"/>
      <c r="DR23">
        <f>SUM(CONTRATACION!B23:DQ23)</f>
        <v>0</v>
      </c>
      <c r="DS23" s="2" t="s">
        <v>14</v>
      </c>
    </row>
    <row r="24" spans="1:123">
      <c r="A24" s="2" t="s">
        <v>9</v>
      </c>
      <c r="B24" s="69">
        <f>COUNTIF(ABRIL!C$3:C$29,"A")</f>
        <v>0</v>
      </c>
      <c r="C24" s="69"/>
      <c r="D24" s="69"/>
      <c r="E24" s="69"/>
      <c r="F24" s="69">
        <f>COUNTIF(ABRIL!D$3:D$29,"A")</f>
        <v>1</v>
      </c>
      <c r="G24" s="69"/>
      <c r="H24" s="69"/>
      <c r="I24" s="69"/>
      <c r="J24" s="69">
        <f>COUNTIF(ABRIL!E$3:E$29,"A")</f>
        <v>0</v>
      </c>
      <c r="K24" s="69"/>
      <c r="L24" s="69"/>
      <c r="M24" s="69"/>
      <c r="N24" s="69">
        <f>COUNTIF(ABRIL!F$3:F$29,"A")</f>
        <v>0</v>
      </c>
      <c r="O24" s="69"/>
      <c r="P24" s="69"/>
      <c r="Q24" s="69"/>
      <c r="R24" s="69">
        <f>COUNTIF(ABRIL!G$3:G$29,"A")</f>
        <v>0</v>
      </c>
      <c r="S24" s="69"/>
      <c r="T24" s="69"/>
      <c r="U24" s="69"/>
      <c r="V24" s="69">
        <f>COUNTIF(ABRIL!H$3:H$29,"A")</f>
        <v>2</v>
      </c>
      <c r="W24" s="69"/>
      <c r="X24" s="69"/>
      <c r="Y24" s="69"/>
      <c r="Z24" s="69">
        <f>COUNTIF(ABRIL!I$3:I$29,"A")</f>
        <v>0</v>
      </c>
      <c r="AA24" s="69"/>
      <c r="AB24" s="69"/>
      <c r="AC24" s="69"/>
      <c r="AD24" s="69">
        <f>COUNTIF(ABRIL!J$3:J$29,"A")</f>
        <v>0</v>
      </c>
      <c r="AE24" s="69"/>
      <c r="AF24" s="69"/>
      <c r="AG24" s="69"/>
      <c r="AH24" s="69">
        <f>COUNTIF(ABRIL!K$3:K$29,"A")</f>
        <v>0</v>
      </c>
      <c r="AI24" s="69"/>
      <c r="AJ24" s="69"/>
      <c r="AK24" s="69"/>
      <c r="AL24" s="69">
        <f>COUNTIF(ABRIL!L$3:L$29,"A")</f>
        <v>0</v>
      </c>
      <c r="AM24" s="69"/>
      <c r="AN24" s="69"/>
      <c r="AO24" s="69"/>
      <c r="AP24" s="69">
        <f>COUNTIF(ABRIL!M$3:M$29,"A")</f>
        <v>0</v>
      </c>
      <c r="AQ24" s="69"/>
      <c r="AR24" s="69"/>
      <c r="AS24" s="69"/>
      <c r="AT24" s="69">
        <f>COUNTIF(ABRIL!N$3:N$29,"A")</f>
        <v>0</v>
      </c>
      <c r="AU24" s="69"/>
      <c r="AV24" s="69"/>
      <c r="AW24" s="69"/>
      <c r="AX24" s="69">
        <f>COUNTIF(ABRIL!O$3:O$29,"A")</f>
        <v>0</v>
      </c>
      <c r="AY24" s="69"/>
      <c r="AZ24" s="69"/>
      <c r="BA24" s="69"/>
      <c r="BB24" s="69">
        <f>COUNTIF(ABRIL!P$3:P$29,"A")</f>
        <v>0</v>
      </c>
      <c r="BC24" s="69"/>
      <c r="BD24" s="69"/>
      <c r="BE24" s="69"/>
      <c r="BF24" s="69">
        <f>COUNTIF(ABRIL!Q$3:Q$29,"A")</f>
        <v>0</v>
      </c>
      <c r="BG24" s="69"/>
      <c r="BH24" s="69"/>
      <c r="BI24" s="69"/>
      <c r="BJ24" s="69">
        <f>COUNTIF(ABRIL!R$3:R$29,"A")</f>
        <v>0</v>
      </c>
      <c r="BK24" s="69"/>
      <c r="BL24" s="69"/>
      <c r="BM24" s="69"/>
      <c r="BN24" s="69">
        <f>COUNTIF(ABRIL!S$3:S$29,"A")</f>
        <v>0</v>
      </c>
      <c r="BO24" s="69"/>
      <c r="BP24" s="69"/>
      <c r="BQ24" s="69"/>
      <c r="BR24" s="69">
        <f>COUNTIF(ABRIL!T$3:T$29,"A")</f>
        <v>0</v>
      </c>
      <c r="BS24" s="69"/>
      <c r="BT24" s="69"/>
      <c r="BU24" s="69"/>
      <c r="BV24" s="69">
        <f>COUNTIF(ABRIL!U$3:U$29,"A")</f>
        <v>0</v>
      </c>
      <c r="BW24" s="69"/>
      <c r="BX24" s="69"/>
      <c r="BY24" s="69"/>
      <c r="BZ24" s="69">
        <f>COUNTIF(ABRIL!V$3:V$29,"A")</f>
        <v>0</v>
      </c>
      <c r="CA24" s="69"/>
      <c r="CB24" s="69"/>
      <c r="CC24" s="69"/>
      <c r="CD24" s="69">
        <f>COUNTIF(ABRIL!W$3:W$29,"A")</f>
        <v>0</v>
      </c>
      <c r="CE24" s="69"/>
      <c r="CF24" s="69"/>
      <c r="CG24" s="69"/>
      <c r="CH24" s="69">
        <f>COUNTIF(ABRIL!X$3:X$29,"A")</f>
        <v>0</v>
      </c>
      <c r="CI24" s="69"/>
      <c r="CJ24" s="69"/>
      <c r="CK24" s="69"/>
      <c r="CL24" s="69">
        <f>COUNTIF(ABRIL!Y$3:Y$29,"A")</f>
        <v>0</v>
      </c>
      <c r="CM24" s="69"/>
      <c r="CN24" s="69"/>
      <c r="CO24" s="69"/>
      <c r="CP24" s="69">
        <f>COUNTIF(ABRIL!Z$3:Z$29,"A")</f>
        <v>0</v>
      </c>
      <c r="CQ24" s="69"/>
      <c r="CR24" s="69"/>
      <c r="CS24" s="69"/>
      <c r="CT24" s="69">
        <f>COUNTIF(ABRIL!AA$3:AA$29,"A")</f>
        <v>0</v>
      </c>
      <c r="CU24" s="69"/>
      <c r="CV24" s="69"/>
      <c r="CW24" s="69"/>
      <c r="CX24" s="69">
        <f>COUNTIF(ABRIL!AB$3:AB$29,"A")</f>
        <v>0</v>
      </c>
      <c r="CY24" s="69"/>
      <c r="CZ24" s="69"/>
      <c r="DA24" s="69"/>
      <c r="DB24" s="69">
        <f>COUNTIF(ABRIL!AC$3:AC$29,"A")</f>
        <v>0</v>
      </c>
      <c r="DC24" s="69"/>
      <c r="DD24" s="69"/>
      <c r="DE24" s="69"/>
      <c r="DF24" s="69">
        <f>COUNTIF(ABRIL!AD$3:AD$29,"A")</f>
        <v>0</v>
      </c>
      <c r="DG24" s="69"/>
      <c r="DH24" s="69"/>
      <c r="DI24" s="69"/>
      <c r="DJ24" s="69">
        <f>COUNTIF(ABRIL!AE$3:AE$29,"A")</f>
        <v>0</v>
      </c>
      <c r="DK24" s="69"/>
      <c r="DL24" s="69"/>
      <c r="DM24" s="69"/>
      <c r="DN24" s="69">
        <f>COUNTIF(ABRIL!AF$3:AF$29,"A")</f>
        <v>0</v>
      </c>
      <c r="DO24" s="69"/>
      <c r="DP24" s="69"/>
      <c r="DQ24" s="69"/>
      <c r="DR24">
        <f>SUM(CONTRATACION!B24:DQ24)</f>
        <v>3</v>
      </c>
      <c r="DS24" s="2" t="s">
        <v>9</v>
      </c>
    </row>
    <row r="25" spans="1:123">
      <c r="A25" s="2" t="s">
        <v>49</v>
      </c>
      <c r="B25" s="69">
        <f>COUNTIF(ABRIL!C$3:C$29,"PF")</f>
        <v>0</v>
      </c>
      <c r="C25" s="69"/>
      <c r="D25" s="69"/>
      <c r="E25" s="69"/>
      <c r="F25" s="69">
        <f>COUNTIF(ABRIL!D$3:D$29,"PF")</f>
        <v>0</v>
      </c>
      <c r="G25" s="69"/>
      <c r="H25" s="69"/>
      <c r="I25" s="69"/>
      <c r="J25" s="69">
        <f>COUNTIF(ABRIL!E$3:E$29,"PF")</f>
        <v>0</v>
      </c>
      <c r="K25" s="69"/>
      <c r="L25" s="69"/>
      <c r="M25" s="69"/>
      <c r="N25" s="69">
        <f>COUNTIF(ABRIL!F$3:F$29,"PF")</f>
        <v>0</v>
      </c>
      <c r="O25" s="69"/>
      <c r="P25" s="69"/>
      <c r="Q25" s="69"/>
      <c r="R25" s="69">
        <f>COUNTIF(ABRIL!G$3:G$29,"PF")</f>
        <v>0</v>
      </c>
      <c r="S25" s="69"/>
      <c r="T25" s="69"/>
      <c r="U25" s="69"/>
      <c r="V25" s="69">
        <f>COUNTIF(ABRIL!H$3:H$29,"PF")</f>
        <v>0</v>
      </c>
      <c r="W25" s="69"/>
      <c r="X25" s="69"/>
      <c r="Y25" s="69"/>
      <c r="Z25" s="69">
        <f>COUNTIF(ABRIL!I$3:I$29,"PF")</f>
        <v>0</v>
      </c>
      <c r="AA25" s="69"/>
      <c r="AB25" s="69"/>
      <c r="AC25" s="69"/>
      <c r="AD25" s="69">
        <f>COUNTIF(ABRIL!J$3:J$29,"PF")</f>
        <v>0</v>
      </c>
      <c r="AE25" s="69"/>
      <c r="AF25" s="69"/>
      <c r="AG25" s="69"/>
      <c r="AH25" s="69">
        <f>COUNTIF(ABRIL!K$3:K$29,"PF")</f>
        <v>0</v>
      </c>
      <c r="AI25" s="69"/>
      <c r="AJ25" s="69"/>
      <c r="AK25" s="69"/>
      <c r="AL25" s="69">
        <f>COUNTIF(ABRIL!L$3:L$29,"PF")</f>
        <v>0</v>
      </c>
      <c r="AM25" s="69"/>
      <c r="AN25" s="69"/>
      <c r="AO25" s="69"/>
      <c r="AP25" s="69">
        <f>COUNTIF(ABRIL!M$3:M$29,"PF")</f>
        <v>0</v>
      </c>
      <c r="AQ25" s="69"/>
      <c r="AR25" s="69"/>
      <c r="AS25" s="69"/>
      <c r="AT25" s="69">
        <f>COUNTIF(ABRIL!N$3:N$29,"PF")</f>
        <v>0</v>
      </c>
      <c r="AU25" s="69"/>
      <c r="AV25" s="69"/>
      <c r="AW25" s="69"/>
      <c r="AX25" s="69">
        <f>COUNTIF(ABRIL!O$3:O$29,"PF")</f>
        <v>0</v>
      </c>
      <c r="AY25" s="69"/>
      <c r="AZ25" s="69"/>
      <c r="BA25" s="69"/>
      <c r="BB25" s="69">
        <f>COUNTIF(ABRIL!P$3:P$29,"PF")</f>
        <v>0</v>
      </c>
      <c r="BC25" s="69"/>
      <c r="BD25" s="69"/>
      <c r="BE25" s="69"/>
      <c r="BF25" s="69">
        <f>COUNTIF(ABRIL!Q$3:Q$29,"PF")</f>
        <v>0</v>
      </c>
      <c r="BG25" s="69"/>
      <c r="BH25" s="69"/>
      <c r="BI25" s="69"/>
      <c r="BJ25" s="69">
        <f>COUNTIF(ABRIL!R$3:R$29,"PF")</f>
        <v>0</v>
      </c>
      <c r="BK25" s="69"/>
      <c r="BL25" s="69"/>
      <c r="BM25" s="69"/>
      <c r="BN25" s="69">
        <f>COUNTIF(ABRIL!S$3:S$29,"PF")</f>
        <v>0</v>
      </c>
      <c r="BO25" s="69"/>
      <c r="BP25" s="69"/>
      <c r="BQ25" s="69"/>
      <c r="BR25" s="69">
        <f>COUNTIF(ABRIL!T$3:T$29,"PF")</f>
        <v>0</v>
      </c>
      <c r="BS25" s="69"/>
      <c r="BT25" s="69"/>
      <c r="BU25" s="69"/>
      <c r="BV25" s="69">
        <f>COUNTIF(ABRIL!U$3:U$29,"PF")</f>
        <v>0</v>
      </c>
      <c r="BW25" s="69"/>
      <c r="BX25" s="69"/>
      <c r="BY25" s="69"/>
      <c r="BZ25" s="69">
        <f>COUNTIF(ABRIL!V$3:V$29,"PF")</f>
        <v>0</v>
      </c>
      <c r="CA25" s="69"/>
      <c r="CB25" s="69"/>
      <c r="CC25" s="69"/>
      <c r="CD25" s="69">
        <f>COUNTIF(ABRIL!W$3:W$29,"PF")</f>
        <v>0</v>
      </c>
      <c r="CE25" s="69"/>
      <c r="CF25" s="69"/>
      <c r="CG25" s="69"/>
      <c r="CH25" s="69">
        <f>COUNTIF(ABRIL!X$3:X$29,"PF")</f>
        <v>0</v>
      </c>
      <c r="CI25" s="69"/>
      <c r="CJ25" s="69"/>
      <c r="CK25" s="69"/>
      <c r="CL25" s="69">
        <f>COUNTIF(ABRIL!Y$3:Y$29,"PF")</f>
        <v>0</v>
      </c>
      <c r="CM25" s="69"/>
      <c r="CN25" s="69"/>
      <c r="CO25" s="69"/>
      <c r="CP25" s="69">
        <f>COUNTIF(ABRIL!Z$3:Z$29,"PF")</f>
        <v>0</v>
      </c>
      <c r="CQ25" s="69"/>
      <c r="CR25" s="69"/>
      <c r="CS25" s="69"/>
      <c r="CT25" s="69">
        <f>COUNTIF(ABRIL!AA$3:AA$29,"PF")</f>
        <v>0</v>
      </c>
      <c r="CU25" s="69"/>
      <c r="CV25" s="69"/>
      <c r="CW25" s="69"/>
      <c r="CX25" s="69">
        <f>COUNTIF(ABRIL!AB$3:AB$29,"PF")</f>
        <v>0</v>
      </c>
      <c r="CY25" s="69"/>
      <c r="CZ25" s="69"/>
      <c r="DA25" s="69"/>
      <c r="DB25" s="69">
        <f>COUNTIF(ABRIL!AC$3:AC$29,"PF")</f>
        <v>0</v>
      </c>
      <c r="DC25" s="69"/>
      <c r="DD25" s="69"/>
      <c r="DE25" s="69"/>
      <c r="DF25" s="69">
        <f>COUNTIF(ABRIL!AD$3:AD$29,"PF")</f>
        <v>0</v>
      </c>
      <c r="DG25" s="69"/>
      <c r="DH25" s="69"/>
      <c r="DI25" s="69"/>
      <c r="DJ25" s="69">
        <f>COUNTIF(ABRIL!AE$3:AE$29,"PF")</f>
        <v>0</v>
      </c>
      <c r="DK25" s="69"/>
      <c r="DL25" s="69"/>
      <c r="DM25" s="69"/>
      <c r="DN25" s="69">
        <f>COUNTIF(ABRIL!AF$3:AF$29,"PF")</f>
        <v>0</v>
      </c>
      <c r="DO25" s="69"/>
      <c r="DP25" s="69"/>
      <c r="DQ25" s="69"/>
      <c r="DR25">
        <f>SUM(CONTRATACION!B25:DQ25)</f>
        <v>0</v>
      </c>
      <c r="DS25" s="2" t="s">
        <v>49</v>
      </c>
    </row>
    <row r="26" spans="1:123">
      <c r="A26" s="2" t="s">
        <v>50</v>
      </c>
      <c r="B26" s="69">
        <f>COUNTIF(ABRIL!C$3:C$29,"PS")</f>
        <v>0</v>
      </c>
      <c r="C26" s="69"/>
      <c r="D26" s="69"/>
      <c r="E26" s="69"/>
      <c r="F26" s="69">
        <f>COUNTIF(ABRIL!D$3:D$29,"PS")</f>
        <v>0</v>
      </c>
      <c r="G26" s="69"/>
      <c r="H26" s="69"/>
      <c r="I26" s="69"/>
      <c r="J26" s="69">
        <f>COUNTIF(ABRIL!E$3:E$29,"PS")</f>
        <v>0</v>
      </c>
      <c r="K26" s="69"/>
      <c r="L26" s="69"/>
      <c r="M26" s="69"/>
      <c r="N26" s="69">
        <f>COUNTIF(ABRIL!F$3:F$29,"PS")</f>
        <v>0</v>
      </c>
      <c r="O26" s="69"/>
      <c r="P26" s="69"/>
      <c r="Q26" s="69"/>
      <c r="R26" s="69">
        <f>COUNTIF(ABRIL!G$3:G$29,"PS")</f>
        <v>0</v>
      </c>
      <c r="S26" s="69"/>
      <c r="T26" s="69"/>
      <c r="U26" s="69"/>
      <c r="V26" s="69">
        <f>COUNTIF(ABRIL!H$3:H$29,"PS")</f>
        <v>0</v>
      </c>
      <c r="W26" s="69"/>
      <c r="X26" s="69"/>
      <c r="Y26" s="69"/>
      <c r="Z26" s="69">
        <f>COUNTIF(ABRIL!I$3:I$29,"PS")</f>
        <v>0</v>
      </c>
      <c r="AA26" s="69"/>
      <c r="AB26" s="69"/>
      <c r="AC26" s="69"/>
      <c r="AD26" s="69">
        <f>COUNTIF(ABRIL!J$3:J$29,"PS")</f>
        <v>0</v>
      </c>
      <c r="AE26" s="69"/>
      <c r="AF26" s="69"/>
      <c r="AG26" s="69"/>
      <c r="AH26" s="69">
        <f>COUNTIF(ABRIL!K$3:K$29,"PS")</f>
        <v>0</v>
      </c>
      <c r="AI26" s="69"/>
      <c r="AJ26" s="69"/>
      <c r="AK26" s="69"/>
      <c r="AL26" s="69">
        <f>COUNTIF(ABRIL!L$3:L$29,"PS")</f>
        <v>0</v>
      </c>
      <c r="AM26" s="69"/>
      <c r="AN26" s="69"/>
      <c r="AO26" s="69"/>
      <c r="AP26" s="69">
        <f>COUNTIF(ABRIL!M$3:M$29,"PS")</f>
        <v>0</v>
      </c>
      <c r="AQ26" s="69"/>
      <c r="AR26" s="69"/>
      <c r="AS26" s="69"/>
      <c r="AT26" s="69">
        <f>COUNTIF(ABRIL!N$3:N$29,"PS")</f>
        <v>0</v>
      </c>
      <c r="AU26" s="69"/>
      <c r="AV26" s="69"/>
      <c r="AW26" s="69"/>
      <c r="AX26" s="69">
        <f>COUNTIF(ABRIL!O$3:O$29,"PS")</f>
        <v>0</v>
      </c>
      <c r="AY26" s="69"/>
      <c r="AZ26" s="69"/>
      <c r="BA26" s="69"/>
      <c r="BB26" s="69">
        <f>COUNTIF(ABRIL!P$3:P$29,"PS")</f>
        <v>0</v>
      </c>
      <c r="BC26" s="69"/>
      <c r="BD26" s="69"/>
      <c r="BE26" s="69"/>
      <c r="BF26" s="69">
        <f>COUNTIF(ABRIL!Q$3:Q$29,"PS")</f>
        <v>0</v>
      </c>
      <c r="BG26" s="69"/>
      <c r="BH26" s="69"/>
      <c r="BI26" s="69"/>
      <c r="BJ26" s="69">
        <f>COUNTIF(ABRIL!R$3:R$29,"PS")</f>
        <v>0</v>
      </c>
      <c r="BK26" s="69"/>
      <c r="BL26" s="69"/>
      <c r="BM26" s="69"/>
      <c r="BN26" s="69">
        <f>COUNTIF(ABRIL!S$3:S$29,"PS")</f>
        <v>0</v>
      </c>
      <c r="BO26" s="69"/>
      <c r="BP26" s="69"/>
      <c r="BQ26" s="69"/>
      <c r="BR26" s="69">
        <f>COUNTIF(ABRIL!T$3:T$29,"PS")</f>
        <v>0</v>
      </c>
      <c r="BS26" s="69"/>
      <c r="BT26" s="69"/>
      <c r="BU26" s="69"/>
      <c r="BV26" s="69">
        <f>COUNTIF(ABRIL!U$3:U$29,"PS")</f>
        <v>0</v>
      </c>
      <c r="BW26" s="69"/>
      <c r="BX26" s="69"/>
      <c r="BY26" s="69"/>
      <c r="BZ26" s="69">
        <f>COUNTIF(ABRIL!V$3:V$29,"PS")</f>
        <v>0</v>
      </c>
      <c r="CA26" s="69"/>
      <c r="CB26" s="69"/>
      <c r="CC26" s="69"/>
      <c r="CD26" s="69">
        <f>COUNTIF(ABRIL!W$3:W$29,"PS")</f>
        <v>0</v>
      </c>
      <c r="CE26" s="69"/>
      <c r="CF26" s="69"/>
      <c r="CG26" s="69"/>
      <c r="CH26" s="69">
        <f>COUNTIF(ABRIL!X$3:X$29,"PS")</f>
        <v>0</v>
      </c>
      <c r="CI26" s="69"/>
      <c r="CJ26" s="69"/>
      <c r="CK26" s="69"/>
      <c r="CL26" s="69">
        <f>COUNTIF(ABRIL!Y$3:Y$29,"PS")</f>
        <v>0</v>
      </c>
      <c r="CM26" s="69"/>
      <c r="CN26" s="69"/>
      <c r="CO26" s="69"/>
      <c r="CP26" s="69">
        <f>COUNTIF(ABRIL!Z$3:Z$29,"PS")</f>
        <v>0</v>
      </c>
      <c r="CQ26" s="69"/>
      <c r="CR26" s="69"/>
      <c r="CS26" s="69"/>
      <c r="CT26" s="69">
        <f>COUNTIF(ABRIL!AA$3:AA$29,"PS")</f>
        <v>0</v>
      </c>
      <c r="CU26" s="69"/>
      <c r="CV26" s="69"/>
      <c r="CW26" s="69"/>
      <c r="CX26" s="69">
        <f>COUNTIF(ABRIL!AB$3:AB$29,"PS")</f>
        <v>0</v>
      </c>
      <c r="CY26" s="69"/>
      <c r="CZ26" s="69"/>
      <c r="DA26" s="69"/>
      <c r="DB26" s="69">
        <f>COUNTIF(ABRIL!AC$3:AC$29,"PS")</f>
        <v>0</v>
      </c>
      <c r="DC26" s="69"/>
      <c r="DD26" s="69"/>
      <c r="DE26" s="69"/>
      <c r="DF26" s="69">
        <f>COUNTIF(ABRIL!AD$3:AD$29,"PS")</f>
        <v>0</v>
      </c>
      <c r="DG26" s="69"/>
      <c r="DH26" s="69"/>
      <c r="DI26" s="69"/>
      <c r="DJ26" s="69">
        <f>COUNTIF(ABRIL!AE$3:AE$29,"PS")</f>
        <v>0</v>
      </c>
      <c r="DK26" s="69"/>
      <c r="DL26" s="69"/>
      <c r="DM26" s="69"/>
      <c r="DN26" s="69">
        <f>COUNTIF(ABRIL!AF$3:AF$29,"PS")</f>
        <v>0</v>
      </c>
      <c r="DO26" s="69"/>
      <c r="DP26" s="69"/>
      <c r="DQ26" s="69"/>
      <c r="DR26">
        <f>SUM(CONTRATACION!B26:DQ26)</f>
        <v>0</v>
      </c>
      <c r="DS26" s="2" t="s">
        <v>50</v>
      </c>
    </row>
    <row r="27" spans="1:123">
      <c r="DR27">
        <f>SUM(CONTRATACION!DR22:DR26)</f>
        <v>61</v>
      </c>
    </row>
  </sheetData>
  <mergeCells count="240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BZ4:CC4"/>
    <mergeCell ref="CD4:CG4"/>
    <mergeCell ref="CH4:CK4"/>
    <mergeCell ref="CL4:CO4"/>
    <mergeCell ref="CP4:CS4"/>
    <mergeCell ref="CT4:CW4"/>
    <mergeCell ref="CX4:DA4"/>
    <mergeCell ref="DB4:DE4"/>
    <mergeCell ref="AL4:AO4"/>
    <mergeCell ref="AP4:AS4"/>
    <mergeCell ref="AT4:AW4"/>
    <mergeCell ref="AX4:BA4"/>
    <mergeCell ref="BB4:BE4"/>
    <mergeCell ref="BF4:BI4"/>
    <mergeCell ref="BJ4:BM4"/>
    <mergeCell ref="BN4:BQ4"/>
    <mergeCell ref="BR4:BU4"/>
    <mergeCell ref="DF4:DI4"/>
    <mergeCell ref="DJ4:DM4"/>
    <mergeCell ref="DN4:DQ4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BB5:BE5"/>
    <mergeCell ref="BF5:BI5"/>
    <mergeCell ref="BJ5:BM5"/>
    <mergeCell ref="BN5:BQ5"/>
    <mergeCell ref="BR5:BU5"/>
    <mergeCell ref="BV5:BY5"/>
    <mergeCell ref="BZ5:CC5"/>
    <mergeCell ref="BV4:BY4"/>
    <mergeCell ref="BV19:BY19"/>
    <mergeCell ref="BZ19:CC19"/>
    <mergeCell ref="CD19:CG19"/>
    <mergeCell ref="CH19:CK19"/>
    <mergeCell ref="CD5:CG5"/>
    <mergeCell ref="CH5:CK5"/>
    <mergeCell ref="CL5:CO5"/>
    <mergeCell ref="CP5:CS5"/>
    <mergeCell ref="CT5:CW5"/>
    <mergeCell ref="CL19:CO19"/>
    <mergeCell ref="CP19:CS19"/>
    <mergeCell ref="CT19:CW19"/>
    <mergeCell ref="AL19:AO19"/>
    <mergeCell ref="AP19:AS19"/>
    <mergeCell ref="AT19:AW19"/>
    <mergeCell ref="AX19:BA19"/>
    <mergeCell ref="BB19:BE19"/>
    <mergeCell ref="BF19:BI19"/>
    <mergeCell ref="BJ19:BM19"/>
    <mergeCell ref="BN19:BQ19"/>
    <mergeCell ref="BR19:BU19"/>
    <mergeCell ref="B19:E19"/>
    <mergeCell ref="F19:I19"/>
    <mergeCell ref="J19:M19"/>
    <mergeCell ref="N19:Q19"/>
    <mergeCell ref="R19:U19"/>
    <mergeCell ref="V19:Y19"/>
    <mergeCell ref="Z19:AC19"/>
    <mergeCell ref="AD19:AG19"/>
    <mergeCell ref="AH19:AK19"/>
    <mergeCell ref="CX19:DA19"/>
    <mergeCell ref="DB19:DE19"/>
    <mergeCell ref="DF19:DI19"/>
    <mergeCell ref="DJ19:DM19"/>
    <mergeCell ref="DN19:DQ19"/>
    <mergeCell ref="DN5:DQ5"/>
    <mergeCell ref="CX5:DA5"/>
    <mergeCell ref="DB5:DE5"/>
    <mergeCell ref="DF5:DI5"/>
    <mergeCell ref="DJ5:DM5"/>
    <mergeCell ref="B22:E22"/>
    <mergeCell ref="F22:I22"/>
    <mergeCell ref="J22:M22"/>
    <mergeCell ref="N22:Q22"/>
    <mergeCell ref="R22:U22"/>
    <mergeCell ref="V22:Y22"/>
    <mergeCell ref="Z22:AC22"/>
    <mergeCell ref="AD22:AG22"/>
    <mergeCell ref="AH22:AK22"/>
    <mergeCell ref="BZ22:CC22"/>
    <mergeCell ref="CD22:CG22"/>
    <mergeCell ref="CH22:CK22"/>
    <mergeCell ref="CL22:CO22"/>
    <mergeCell ref="CP22:CS22"/>
    <mergeCell ref="CT22:CW22"/>
    <mergeCell ref="CX22:DA22"/>
    <mergeCell ref="DB22:DE22"/>
    <mergeCell ref="AL22:AO22"/>
    <mergeCell ref="AP22:AS22"/>
    <mergeCell ref="AT22:AW22"/>
    <mergeCell ref="AX22:BA22"/>
    <mergeCell ref="BB22:BE22"/>
    <mergeCell ref="BF22:BI22"/>
    <mergeCell ref="BJ22:BM22"/>
    <mergeCell ref="BN22:BQ22"/>
    <mergeCell ref="BR22:BU22"/>
    <mergeCell ref="DF22:DI22"/>
    <mergeCell ref="DJ22:DM22"/>
    <mergeCell ref="DN22:DQ22"/>
    <mergeCell ref="B23:E23"/>
    <mergeCell ref="F23:I23"/>
    <mergeCell ref="J23:M23"/>
    <mergeCell ref="N23:Q23"/>
    <mergeCell ref="R23:U23"/>
    <mergeCell ref="V23:Y23"/>
    <mergeCell ref="Z23:AC23"/>
    <mergeCell ref="AD23:AG23"/>
    <mergeCell ref="AH23:AK23"/>
    <mergeCell ref="AL23:AO23"/>
    <mergeCell ref="AP23:AS23"/>
    <mergeCell ref="AT23:AW23"/>
    <mergeCell ref="AX23:BA23"/>
    <mergeCell ref="BB23:BE23"/>
    <mergeCell ref="BF23:BI23"/>
    <mergeCell ref="BJ23:BM23"/>
    <mergeCell ref="BN23:BQ23"/>
    <mergeCell ref="BR23:BU23"/>
    <mergeCell ref="BV23:BY23"/>
    <mergeCell ref="BZ23:CC23"/>
    <mergeCell ref="BV22:BY22"/>
    <mergeCell ref="BV24:BY24"/>
    <mergeCell ref="BZ24:CC24"/>
    <mergeCell ref="CD24:CG24"/>
    <mergeCell ref="CH24:CK24"/>
    <mergeCell ref="CD23:CG23"/>
    <mergeCell ref="CH23:CK23"/>
    <mergeCell ref="CL23:CO23"/>
    <mergeCell ref="CP23:CS23"/>
    <mergeCell ref="CT23:CW23"/>
    <mergeCell ref="CL24:CO24"/>
    <mergeCell ref="CP24:CS24"/>
    <mergeCell ref="CT24:CW24"/>
    <mergeCell ref="AL24:AO24"/>
    <mergeCell ref="AP24:AS24"/>
    <mergeCell ref="AT24:AW24"/>
    <mergeCell ref="AX24:BA24"/>
    <mergeCell ref="BB24:BE24"/>
    <mergeCell ref="BF24:BI24"/>
    <mergeCell ref="BJ24:BM24"/>
    <mergeCell ref="BN24:BQ24"/>
    <mergeCell ref="BR24:BU24"/>
    <mergeCell ref="B24:E24"/>
    <mergeCell ref="F24:I24"/>
    <mergeCell ref="J24:M24"/>
    <mergeCell ref="N24:Q24"/>
    <mergeCell ref="R24:U24"/>
    <mergeCell ref="V24:Y24"/>
    <mergeCell ref="Z24:AC24"/>
    <mergeCell ref="AD24:AG24"/>
    <mergeCell ref="AH24:AK24"/>
    <mergeCell ref="CX24:DA24"/>
    <mergeCell ref="DB24:DE24"/>
    <mergeCell ref="DF24:DI24"/>
    <mergeCell ref="DJ24:DM24"/>
    <mergeCell ref="DN24:DQ24"/>
    <mergeCell ref="DN23:DQ23"/>
    <mergeCell ref="CX23:DA23"/>
    <mergeCell ref="DB23:DE23"/>
    <mergeCell ref="DF23:DI23"/>
    <mergeCell ref="DJ23:DM23"/>
    <mergeCell ref="B25:E25"/>
    <mergeCell ref="F25:I25"/>
    <mergeCell ref="J25:M25"/>
    <mergeCell ref="N25:Q25"/>
    <mergeCell ref="R25:U25"/>
    <mergeCell ref="V25:Y25"/>
    <mergeCell ref="Z25:AC25"/>
    <mergeCell ref="AD25:AG25"/>
    <mergeCell ref="AH25:AK25"/>
    <mergeCell ref="BZ25:CC25"/>
    <mergeCell ref="CD25:CG25"/>
    <mergeCell ref="CH25:CK25"/>
    <mergeCell ref="CL25:CO25"/>
    <mergeCell ref="CP25:CS25"/>
    <mergeCell ref="CT25:CW25"/>
    <mergeCell ref="CX25:DA25"/>
    <mergeCell ref="DB25:DE25"/>
    <mergeCell ref="AL25:AO25"/>
    <mergeCell ref="AP25:AS25"/>
    <mergeCell ref="AT25:AW25"/>
    <mergeCell ref="AX25:BA25"/>
    <mergeCell ref="BB25:BE25"/>
    <mergeCell ref="BF25:BI25"/>
    <mergeCell ref="BJ25:BM25"/>
    <mergeCell ref="BN25:BQ25"/>
    <mergeCell ref="BR25:BU25"/>
    <mergeCell ref="DF25:DI25"/>
    <mergeCell ref="DJ25:DM25"/>
    <mergeCell ref="DN25:DQ25"/>
    <mergeCell ref="B26:E26"/>
    <mergeCell ref="F26:I26"/>
    <mergeCell ref="J26:M26"/>
    <mergeCell ref="N26:Q26"/>
    <mergeCell ref="R26:U26"/>
    <mergeCell ref="V26:Y26"/>
    <mergeCell ref="Z26:AC26"/>
    <mergeCell ref="AD26:AG26"/>
    <mergeCell ref="AH26:AK26"/>
    <mergeCell ref="AL26:AO26"/>
    <mergeCell ref="AP26:AS26"/>
    <mergeCell ref="AT26:AW26"/>
    <mergeCell ref="AX26:BA26"/>
    <mergeCell ref="BB26:BE26"/>
    <mergeCell ref="BF26:BI26"/>
    <mergeCell ref="BJ26:BM26"/>
    <mergeCell ref="BN26:BQ26"/>
    <mergeCell ref="BR26:BU26"/>
    <mergeCell ref="BV26:BY26"/>
    <mergeCell ref="BZ26:CC26"/>
    <mergeCell ref="BV25:BY25"/>
    <mergeCell ref="DN26:DQ26"/>
    <mergeCell ref="CD26:CG26"/>
    <mergeCell ref="CH26:CK26"/>
    <mergeCell ref="CL26:CO26"/>
    <mergeCell ref="CP26:CS26"/>
    <mergeCell ref="CT26:CW26"/>
    <mergeCell ref="CX26:DA26"/>
    <mergeCell ref="DB26:DE26"/>
    <mergeCell ref="DF26:DI26"/>
    <mergeCell ref="DJ26:DM26"/>
  </mergeCells>
  <conditionalFormatting sqref="C17:DQ17 B17:B19 B18:DQ19">
    <cfRule type="cellIs" dxfId="1" priority="2" operator="lessThan">
      <formula>0</formula>
    </cfRule>
    <cfRule type="cellIs" dxfId="0" priority="3" operator="greaterThan">
      <formula>0</formula>
    </cfRule>
  </conditionalFormatting>
  <pageMargins left="0.23611111111111099" right="0.196527777777778" top="0.98402777777777795" bottom="0.74791666666666701" header="0.47222222222222199" footer="0.51180555555555496"/>
  <pageSetup paperSize="0" scale="0" firstPageNumber="0" orientation="portrait" usePrinterDefaults="0" horizontalDpi="0" verticalDpi="0" copies="0"/>
  <headerFooter>
    <oddHeader>&amp;L&amp;18CONTRATACIÓN MARZO 2018</oddHeader>
    <oddFooter>&amp;L_x000D_&amp;1#&amp;"Calibri"&amp;10&amp;K000000 Clasificación: Interna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E89F-40BB-44AD-A2D7-12874463673F}">
  <dimension ref="A2:AF16"/>
  <sheetViews>
    <sheetView tabSelected="1" workbookViewId="0">
      <selection activeCell="A5" sqref="A5:A16"/>
    </sheetView>
  </sheetViews>
  <sheetFormatPr defaultColWidth="11.42578125" defaultRowHeight="15"/>
  <cols>
    <col min="1" max="1" width="30.85546875" customWidth="1"/>
    <col min="2" max="31" width="3.28515625" customWidth="1"/>
  </cols>
  <sheetData>
    <row r="2" spans="1:32" ht="16.149999999999999" customHeight="1" thickBot="1">
      <c r="B2" s="74" t="s">
        <v>51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</row>
    <row r="3" spans="1:32" ht="16.149999999999999" customHeight="1">
      <c r="A3" s="23"/>
      <c r="B3" s="39" t="s">
        <v>0</v>
      </c>
      <c r="C3" s="35" t="s">
        <v>1</v>
      </c>
      <c r="D3" s="35" t="s">
        <v>2</v>
      </c>
      <c r="E3" s="37" t="s">
        <v>3</v>
      </c>
      <c r="F3" s="37" t="s">
        <v>4</v>
      </c>
      <c r="G3" s="42" t="s">
        <v>5</v>
      </c>
      <c r="H3" s="42" t="s">
        <v>6</v>
      </c>
      <c r="I3" s="42" t="s">
        <v>0</v>
      </c>
      <c r="J3" s="42" t="s">
        <v>1</v>
      </c>
      <c r="K3" s="42" t="s">
        <v>2</v>
      </c>
      <c r="L3" s="37" t="s">
        <v>3</v>
      </c>
      <c r="M3" s="37" t="s">
        <v>4</v>
      </c>
      <c r="N3" s="42" t="s">
        <v>5</v>
      </c>
      <c r="O3" s="42" t="s">
        <v>6</v>
      </c>
      <c r="P3" s="42" t="s">
        <v>0</v>
      </c>
      <c r="Q3" s="42" t="s">
        <v>1</v>
      </c>
      <c r="R3" s="42" t="s">
        <v>2</v>
      </c>
      <c r="S3" s="37" t="s">
        <v>3</v>
      </c>
      <c r="T3" s="37" t="s">
        <v>4</v>
      </c>
      <c r="U3" s="42" t="s">
        <v>5</v>
      </c>
      <c r="V3" s="42" t="s">
        <v>6</v>
      </c>
      <c r="W3" s="45" t="s">
        <v>0</v>
      </c>
      <c r="X3" s="46" t="s">
        <v>1</v>
      </c>
      <c r="Y3" s="42" t="s">
        <v>2</v>
      </c>
      <c r="Z3" s="37" t="s">
        <v>3</v>
      </c>
      <c r="AA3" s="37" t="s">
        <v>4</v>
      </c>
      <c r="AB3" s="42" t="s">
        <v>5</v>
      </c>
      <c r="AC3" s="42" t="s">
        <v>6</v>
      </c>
      <c r="AD3" s="42" t="s">
        <v>0</v>
      </c>
      <c r="AE3" s="47" t="s">
        <v>1</v>
      </c>
    </row>
    <row r="4" spans="1:32" ht="16.149999999999999" customHeight="1" thickBot="1">
      <c r="A4" s="23"/>
      <c r="B4" s="40">
        <v>1</v>
      </c>
      <c r="C4" s="36">
        <v>2</v>
      </c>
      <c r="D4" s="36">
        <v>3</v>
      </c>
      <c r="E4" s="38">
        <v>4</v>
      </c>
      <c r="F4" s="38">
        <v>5</v>
      </c>
      <c r="G4" s="43">
        <v>6</v>
      </c>
      <c r="H4" s="43">
        <v>7</v>
      </c>
      <c r="I4" s="43">
        <v>8</v>
      </c>
      <c r="J4" s="43">
        <v>9</v>
      </c>
      <c r="K4" s="43">
        <v>10</v>
      </c>
      <c r="L4" s="38">
        <v>11</v>
      </c>
      <c r="M4" s="38">
        <v>12</v>
      </c>
      <c r="N4" s="43">
        <v>13</v>
      </c>
      <c r="O4" s="43">
        <v>14</v>
      </c>
      <c r="P4" s="43">
        <v>15</v>
      </c>
      <c r="Q4" s="43">
        <v>16</v>
      </c>
      <c r="R4" s="43">
        <v>17</v>
      </c>
      <c r="S4" s="38">
        <v>18</v>
      </c>
      <c r="T4" s="38">
        <v>19</v>
      </c>
      <c r="U4" s="43">
        <v>20</v>
      </c>
      <c r="V4" s="43">
        <v>21</v>
      </c>
      <c r="W4" s="43">
        <v>22</v>
      </c>
      <c r="X4" s="43">
        <v>23</v>
      </c>
      <c r="Y4" s="43">
        <v>24</v>
      </c>
      <c r="Z4" s="38">
        <v>25</v>
      </c>
      <c r="AA4" s="38">
        <v>26</v>
      </c>
      <c r="AB4" s="43">
        <v>27</v>
      </c>
      <c r="AC4" s="43">
        <v>28</v>
      </c>
      <c r="AD4" s="43">
        <v>29</v>
      </c>
      <c r="AE4" s="48">
        <v>30</v>
      </c>
    </row>
    <row r="5" spans="1:32" ht="16.149999999999999" customHeight="1">
      <c r="A5" s="25" t="s">
        <v>52</v>
      </c>
      <c r="B5" s="49" t="s">
        <v>6</v>
      </c>
      <c r="C5" s="34" t="s">
        <v>6</v>
      </c>
      <c r="D5" s="34" t="s">
        <v>4</v>
      </c>
      <c r="E5" s="50" t="s">
        <v>4</v>
      </c>
      <c r="F5" s="51" t="s">
        <v>4</v>
      </c>
      <c r="G5" s="49" t="s">
        <v>4</v>
      </c>
      <c r="H5" s="49" t="s">
        <v>6</v>
      </c>
      <c r="I5" s="49" t="s">
        <v>6</v>
      </c>
      <c r="J5" s="49" t="s">
        <v>6</v>
      </c>
      <c r="K5" s="49" t="s">
        <v>4</v>
      </c>
      <c r="L5" s="50" t="s">
        <v>6</v>
      </c>
      <c r="M5" s="50" t="s">
        <v>6</v>
      </c>
      <c r="N5" s="49" t="s">
        <v>4</v>
      </c>
      <c r="O5" s="49" t="s">
        <v>6</v>
      </c>
      <c r="P5" s="49" t="s">
        <v>6</v>
      </c>
      <c r="Q5" s="49" t="s">
        <v>6</v>
      </c>
      <c r="R5" s="49" t="s">
        <v>6</v>
      </c>
      <c r="S5" s="51" t="s">
        <v>4</v>
      </c>
      <c r="T5" s="51" t="s">
        <v>4</v>
      </c>
      <c r="U5" s="49" t="s">
        <v>6</v>
      </c>
      <c r="V5" s="49" t="s">
        <v>6</v>
      </c>
      <c r="W5" s="49" t="s">
        <v>6</v>
      </c>
      <c r="X5" s="49" t="s">
        <v>4</v>
      </c>
      <c r="Y5" s="49" t="s">
        <v>6</v>
      </c>
      <c r="Z5" s="33" t="s">
        <v>6</v>
      </c>
      <c r="AA5" s="33" t="s">
        <v>6</v>
      </c>
      <c r="AB5" s="49" t="s">
        <v>6</v>
      </c>
      <c r="AC5" s="49" t="s">
        <v>4</v>
      </c>
      <c r="AD5" s="49" t="s">
        <v>6</v>
      </c>
      <c r="AE5" s="49" t="s">
        <v>6</v>
      </c>
      <c r="AF5" s="20"/>
    </row>
    <row r="6" spans="1:32" ht="16.149999999999999" customHeight="1">
      <c r="A6" s="25" t="s">
        <v>53</v>
      </c>
      <c r="B6" s="52" t="s">
        <v>21</v>
      </c>
      <c r="C6" s="53" t="s">
        <v>4</v>
      </c>
      <c r="D6" s="53" t="s">
        <v>21</v>
      </c>
      <c r="E6" s="54" t="s">
        <v>4</v>
      </c>
      <c r="F6" s="54" t="s">
        <v>4</v>
      </c>
      <c r="G6" s="52" t="s">
        <v>4</v>
      </c>
      <c r="H6" s="52" t="s">
        <v>4</v>
      </c>
      <c r="I6" s="52" t="s">
        <v>4</v>
      </c>
      <c r="J6" s="52" t="s">
        <v>21</v>
      </c>
      <c r="K6" s="52" t="s">
        <v>4</v>
      </c>
      <c r="L6" s="54" t="s">
        <v>21</v>
      </c>
      <c r="M6" s="54" t="s">
        <v>4</v>
      </c>
      <c r="N6" s="52" t="s">
        <v>21</v>
      </c>
      <c r="O6" s="52" t="s">
        <v>4</v>
      </c>
      <c r="P6" s="52" t="s">
        <v>21</v>
      </c>
      <c r="Q6" s="52" t="s">
        <v>4</v>
      </c>
      <c r="R6" s="52" t="s">
        <v>21</v>
      </c>
      <c r="S6" s="54" t="s">
        <v>4</v>
      </c>
      <c r="T6" s="54" t="s">
        <v>21</v>
      </c>
      <c r="U6" s="52" t="s">
        <v>4</v>
      </c>
      <c r="V6" s="52" t="s">
        <v>21</v>
      </c>
      <c r="W6" s="52" t="s">
        <v>4</v>
      </c>
      <c r="X6" s="52" t="s">
        <v>4</v>
      </c>
      <c r="Y6" s="52" t="s">
        <v>4</v>
      </c>
      <c r="Z6" s="54" t="s">
        <v>21</v>
      </c>
      <c r="AA6" s="54" t="s">
        <v>4</v>
      </c>
      <c r="AB6" s="52" t="s">
        <v>21</v>
      </c>
      <c r="AC6" s="52" t="s">
        <v>4</v>
      </c>
      <c r="AD6" s="52" t="s">
        <v>21</v>
      </c>
      <c r="AE6" s="52" t="s">
        <v>4</v>
      </c>
      <c r="AF6" s="21"/>
    </row>
    <row r="7" spans="1:32" ht="16.149999999999999" customHeight="1">
      <c r="A7" s="25" t="s">
        <v>54</v>
      </c>
      <c r="B7" s="49" t="s">
        <v>4</v>
      </c>
      <c r="C7" s="34" t="s">
        <v>23</v>
      </c>
      <c r="D7" s="34" t="s">
        <v>4</v>
      </c>
      <c r="E7" s="33" t="s">
        <v>23</v>
      </c>
      <c r="F7" s="33" t="s">
        <v>23</v>
      </c>
      <c r="G7" s="49" t="s">
        <v>23</v>
      </c>
      <c r="H7" s="49" t="s">
        <v>4</v>
      </c>
      <c r="I7" s="49" t="s">
        <v>4</v>
      </c>
      <c r="J7" s="49" t="s">
        <v>23</v>
      </c>
      <c r="K7" s="49" t="s">
        <v>23</v>
      </c>
      <c r="L7" s="51" t="s">
        <v>4</v>
      </c>
      <c r="M7" s="51" t="s">
        <v>4</v>
      </c>
      <c r="N7" s="49" t="s">
        <v>23</v>
      </c>
      <c r="O7" s="49" t="s">
        <v>23</v>
      </c>
      <c r="P7" s="49" t="s">
        <v>23</v>
      </c>
      <c r="Q7" s="49" t="s">
        <v>4</v>
      </c>
      <c r="R7" s="49" t="s">
        <v>4</v>
      </c>
      <c r="S7" s="33" t="s">
        <v>23</v>
      </c>
      <c r="T7" s="33" t="s">
        <v>23</v>
      </c>
      <c r="U7" s="49" t="s">
        <v>23</v>
      </c>
      <c r="V7" s="49" t="s">
        <v>23</v>
      </c>
      <c r="W7" s="49" t="s">
        <v>4</v>
      </c>
      <c r="X7" s="49" t="s">
        <v>23</v>
      </c>
      <c r="Y7" s="49" t="s">
        <v>23</v>
      </c>
      <c r="Z7" s="50" t="s">
        <v>4</v>
      </c>
      <c r="AA7" s="51" t="s">
        <v>4</v>
      </c>
      <c r="AB7" s="49" t="s">
        <v>4</v>
      </c>
      <c r="AC7" s="49" t="s">
        <v>23</v>
      </c>
      <c r="AD7" s="49" t="s">
        <v>23</v>
      </c>
      <c r="AE7" s="49" t="s">
        <v>23</v>
      </c>
      <c r="AF7" s="21"/>
    </row>
    <row r="8" spans="1:32" ht="16.149999999999999" customHeight="1">
      <c r="A8" s="25" t="s">
        <v>55</v>
      </c>
      <c r="B8" s="49" t="s">
        <v>4</v>
      </c>
      <c r="C8" s="34" t="s">
        <v>6</v>
      </c>
      <c r="D8" s="34" t="s">
        <v>4</v>
      </c>
      <c r="E8" s="33" t="s">
        <v>6</v>
      </c>
      <c r="F8" s="33" t="s">
        <v>6</v>
      </c>
      <c r="G8" s="49" t="s">
        <v>6</v>
      </c>
      <c r="H8" s="49" t="s">
        <v>4</v>
      </c>
      <c r="I8" s="49" t="s">
        <v>4</v>
      </c>
      <c r="J8" s="49" t="s">
        <v>6</v>
      </c>
      <c r="K8" s="49" t="s">
        <v>6</v>
      </c>
      <c r="L8" s="51" t="s">
        <v>4</v>
      </c>
      <c r="M8" s="51" t="s">
        <v>4</v>
      </c>
      <c r="N8" s="49" t="s">
        <v>6</v>
      </c>
      <c r="O8" s="49" t="s">
        <v>6</v>
      </c>
      <c r="P8" s="49" t="s">
        <v>6</v>
      </c>
      <c r="Q8" s="49" t="s">
        <v>4</v>
      </c>
      <c r="R8" s="49" t="s">
        <v>4</v>
      </c>
      <c r="S8" s="33" t="s">
        <v>6</v>
      </c>
      <c r="T8" s="33" t="s">
        <v>6</v>
      </c>
      <c r="U8" s="49" t="s">
        <v>6</v>
      </c>
      <c r="V8" s="49" t="s">
        <v>6</v>
      </c>
      <c r="W8" s="49" t="s">
        <v>4</v>
      </c>
      <c r="X8" s="49" t="s">
        <v>6</v>
      </c>
      <c r="Y8" s="49" t="s">
        <v>6</v>
      </c>
      <c r="Z8" s="50" t="s">
        <v>4</v>
      </c>
      <c r="AA8" s="51" t="s">
        <v>4</v>
      </c>
      <c r="AB8" s="49" t="s">
        <v>4</v>
      </c>
      <c r="AC8" s="49" t="s">
        <v>6</v>
      </c>
      <c r="AD8" s="49" t="s">
        <v>6</v>
      </c>
      <c r="AE8" s="49" t="s">
        <v>4</v>
      </c>
      <c r="AF8" s="21"/>
    </row>
    <row r="9" spans="1:32" ht="16.149999999999999" customHeight="1">
      <c r="A9" s="25" t="s">
        <v>56</v>
      </c>
      <c r="B9" s="49" t="s">
        <v>4</v>
      </c>
      <c r="C9" s="34" t="s">
        <v>4</v>
      </c>
      <c r="D9" s="34" t="s">
        <v>6</v>
      </c>
      <c r="E9" s="50" t="s">
        <v>4</v>
      </c>
      <c r="F9" s="51" t="s">
        <v>4</v>
      </c>
      <c r="G9" s="49" t="s">
        <v>6</v>
      </c>
      <c r="H9" s="49" t="s">
        <v>6</v>
      </c>
      <c r="I9" s="49" t="s">
        <v>6</v>
      </c>
      <c r="J9" s="49" t="s">
        <v>4</v>
      </c>
      <c r="K9" s="49" t="s">
        <v>6</v>
      </c>
      <c r="L9" s="33" t="s">
        <v>6</v>
      </c>
      <c r="M9" s="33" t="s">
        <v>6</v>
      </c>
      <c r="N9" s="49" t="s">
        <v>6</v>
      </c>
      <c r="O9" s="49" t="s">
        <v>4</v>
      </c>
      <c r="P9" s="49" t="s">
        <v>6</v>
      </c>
      <c r="Q9" s="49" t="s">
        <v>6</v>
      </c>
      <c r="R9" s="49" t="s">
        <v>6</v>
      </c>
      <c r="S9" s="51" t="s">
        <v>4</v>
      </c>
      <c r="T9" s="51" t="s">
        <v>4</v>
      </c>
      <c r="U9" s="49" t="s">
        <v>6</v>
      </c>
      <c r="V9" s="49" t="s">
        <v>6</v>
      </c>
      <c r="W9" s="49" t="s">
        <v>6</v>
      </c>
      <c r="X9" s="49" t="s">
        <v>6</v>
      </c>
      <c r="Y9" s="49" t="s">
        <v>4</v>
      </c>
      <c r="Z9" s="33" t="s">
        <v>6</v>
      </c>
      <c r="AA9" s="33" t="s">
        <v>6</v>
      </c>
      <c r="AB9" s="49" t="s">
        <v>4</v>
      </c>
      <c r="AC9" s="49" t="s">
        <v>6</v>
      </c>
      <c r="AD9" s="49" t="s">
        <v>6</v>
      </c>
      <c r="AE9" s="49" t="s">
        <v>6</v>
      </c>
      <c r="AF9" s="21"/>
    </row>
    <row r="10" spans="1:32" ht="16.149999999999999" customHeight="1">
      <c r="A10" s="25" t="s">
        <v>57</v>
      </c>
      <c r="B10" s="49" t="s">
        <v>4</v>
      </c>
      <c r="C10" s="34" t="s">
        <v>4</v>
      </c>
      <c r="D10" s="34" t="s">
        <v>6</v>
      </c>
      <c r="E10" s="51" t="s">
        <v>4</v>
      </c>
      <c r="F10" s="51" t="s">
        <v>4</v>
      </c>
      <c r="G10" s="49" t="s">
        <v>6</v>
      </c>
      <c r="H10" s="49" t="s">
        <v>6</v>
      </c>
      <c r="I10" s="49" t="s">
        <v>6</v>
      </c>
      <c r="J10" s="49" t="s">
        <v>6</v>
      </c>
      <c r="K10" s="49" t="s">
        <v>4</v>
      </c>
      <c r="L10" s="33" t="s">
        <v>6</v>
      </c>
      <c r="M10" s="33" t="s">
        <v>6</v>
      </c>
      <c r="N10" s="49" t="s">
        <v>6</v>
      </c>
      <c r="O10" s="49" t="s">
        <v>6</v>
      </c>
      <c r="P10" s="49" t="s">
        <v>4</v>
      </c>
      <c r="Q10" s="49" t="s">
        <v>6</v>
      </c>
      <c r="R10" s="49" t="s">
        <v>6</v>
      </c>
      <c r="S10" s="50" t="s">
        <v>4</v>
      </c>
      <c r="T10" s="51" t="s">
        <v>4</v>
      </c>
      <c r="U10" s="49" t="s">
        <v>4</v>
      </c>
      <c r="V10" s="49" t="s">
        <v>6</v>
      </c>
      <c r="W10" s="49" t="s">
        <v>6</v>
      </c>
      <c r="X10" s="49" t="s">
        <v>6</v>
      </c>
      <c r="Y10" s="49" t="s">
        <v>4</v>
      </c>
      <c r="Z10" s="50" t="s">
        <v>6</v>
      </c>
      <c r="AA10" s="50" t="s">
        <v>6</v>
      </c>
      <c r="AB10" s="49" t="s">
        <v>4</v>
      </c>
      <c r="AC10" s="49" t="s">
        <v>6</v>
      </c>
      <c r="AD10" s="49" t="s">
        <v>6</v>
      </c>
      <c r="AE10" s="49" t="s">
        <v>6</v>
      </c>
      <c r="AF10" s="22"/>
    </row>
    <row r="11" spans="1:32" ht="16.149999999999999" customHeight="1">
      <c r="A11" s="25" t="s">
        <v>58</v>
      </c>
      <c r="B11" s="52" t="s">
        <v>4</v>
      </c>
      <c r="C11" s="53" t="s">
        <v>21</v>
      </c>
      <c r="D11" s="53" t="s">
        <v>4</v>
      </c>
      <c r="E11" s="54" t="s">
        <v>21</v>
      </c>
      <c r="F11" s="54" t="s">
        <v>4</v>
      </c>
      <c r="G11" s="52" t="s">
        <v>21</v>
      </c>
      <c r="H11" s="52" t="s">
        <v>4</v>
      </c>
      <c r="I11" s="52" t="s">
        <v>4</v>
      </c>
      <c r="J11" s="52" t="s">
        <v>4</v>
      </c>
      <c r="K11" s="52" t="s">
        <v>21</v>
      </c>
      <c r="L11" s="54" t="s">
        <v>4</v>
      </c>
      <c r="M11" s="54" t="s">
        <v>21</v>
      </c>
      <c r="N11" s="52" t="s">
        <v>4</v>
      </c>
      <c r="O11" s="52" t="s">
        <v>21</v>
      </c>
      <c r="P11" s="52" t="s">
        <v>4</v>
      </c>
      <c r="Q11" s="52" t="s">
        <v>21</v>
      </c>
      <c r="R11" s="52" t="s">
        <v>4</v>
      </c>
      <c r="S11" s="54" t="s">
        <v>21</v>
      </c>
      <c r="T11" s="54" t="s">
        <v>4</v>
      </c>
      <c r="U11" s="52" t="s">
        <v>21</v>
      </c>
      <c r="V11" s="52" t="s">
        <v>4</v>
      </c>
      <c r="W11" s="52" t="s">
        <v>21</v>
      </c>
      <c r="X11" s="52" t="s">
        <v>4</v>
      </c>
      <c r="Y11" s="52" t="s">
        <v>4</v>
      </c>
      <c r="Z11" s="54" t="s">
        <v>4</v>
      </c>
      <c r="AA11" s="54" t="s">
        <v>21</v>
      </c>
      <c r="AB11" s="52" t="s">
        <v>4</v>
      </c>
      <c r="AC11" s="52" t="s">
        <v>21</v>
      </c>
      <c r="AD11" s="52" t="s">
        <v>4</v>
      </c>
      <c r="AE11" s="52" t="s">
        <v>21</v>
      </c>
      <c r="AF11" s="21"/>
    </row>
    <row r="12" spans="1:32" ht="16.149999999999999" customHeight="1">
      <c r="A12" s="25" t="s">
        <v>59</v>
      </c>
      <c r="B12" s="55" t="s">
        <v>23</v>
      </c>
      <c r="C12" s="56" t="s">
        <v>4</v>
      </c>
      <c r="D12" s="56" t="s">
        <v>4</v>
      </c>
      <c r="E12" s="57" t="s">
        <v>23</v>
      </c>
      <c r="F12" s="57" t="s">
        <v>23</v>
      </c>
      <c r="G12" s="55" t="s">
        <v>23</v>
      </c>
      <c r="H12" s="55" t="s">
        <v>23</v>
      </c>
      <c r="I12" s="55" t="s">
        <v>4</v>
      </c>
      <c r="J12" s="55" t="s">
        <v>23</v>
      </c>
      <c r="K12" s="55" t="s">
        <v>23</v>
      </c>
      <c r="L12" s="57" t="s">
        <v>4</v>
      </c>
      <c r="M12" s="57" t="s">
        <v>4</v>
      </c>
      <c r="N12" s="55" t="s">
        <v>4</v>
      </c>
      <c r="O12" s="55" t="s">
        <v>23</v>
      </c>
      <c r="P12" s="55" t="s">
        <v>23</v>
      </c>
      <c r="Q12" s="55" t="s">
        <v>23</v>
      </c>
      <c r="R12" s="55" t="s">
        <v>23</v>
      </c>
      <c r="S12" s="57" t="s">
        <v>4</v>
      </c>
      <c r="T12" s="57" t="s">
        <v>4</v>
      </c>
      <c r="U12" s="55" t="s">
        <v>23</v>
      </c>
      <c r="V12" s="55" t="s">
        <v>23</v>
      </c>
      <c r="W12" s="55" t="s">
        <v>23</v>
      </c>
      <c r="X12" s="55" t="s">
        <v>4</v>
      </c>
      <c r="Y12" s="55" t="s">
        <v>23</v>
      </c>
      <c r="Z12" s="57" t="s">
        <v>23</v>
      </c>
      <c r="AA12" s="57" t="s">
        <v>23</v>
      </c>
      <c r="AB12" s="55" t="s">
        <v>23</v>
      </c>
      <c r="AC12" s="55" t="s">
        <v>4</v>
      </c>
      <c r="AD12" s="55" t="s">
        <v>23</v>
      </c>
      <c r="AE12" s="55" t="s">
        <v>23</v>
      </c>
      <c r="AF12" s="21"/>
    </row>
    <row r="13" spans="1:32" ht="16.149999999999999" customHeight="1">
      <c r="A13" s="25" t="s">
        <v>60</v>
      </c>
      <c r="B13" s="49" t="s">
        <v>6</v>
      </c>
      <c r="C13" s="58" t="s">
        <v>6</v>
      </c>
      <c r="D13" s="34" t="s">
        <v>4</v>
      </c>
      <c r="E13" s="33" t="s">
        <v>6</v>
      </c>
      <c r="F13" s="33" t="s">
        <v>6</v>
      </c>
      <c r="G13" s="49" t="s">
        <v>6</v>
      </c>
      <c r="H13" s="49" t="s">
        <v>4</v>
      </c>
      <c r="I13" s="49" t="s">
        <v>6</v>
      </c>
      <c r="J13" s="49" t="s">
        <v>6</v>
      </c>
      <c r="K13" s="49" t="s">
        <v>6</v>
      </c>
      <c r="L13" s="51" t="s">
        <v>4</v>
      </c>
      <c r="M13" s="51" t="s">
        <v>4</v>
      </c>
      <c r="N13" s="49" t="s">
        <v>6</v>
      </c>
      <c r="O13" s="49" t="s">
        <v>6</v>
      </c>
      <c r="P13" s="49" t="s">
        <v>6</v>
      </c>
      <c r="Q13" s="49" t="s">
        <v>6</v>
      </c>
      <c r="R13" s="49" t="s">
        <v>4</v>
      </c>
      <c r="S13" s="33" t="s">
        <v>6</v>
      </c>
      <c r="T13" s="33" t="s">
        <v>6</v>
      </c>
      <c r="U13" s="49" t="s">
        <v>4</v>
      </c>
      <c r="V13" s="49" t="s">
        <v>6</v>
      </c>
      <c r="W13" s="49" t="s">
        <v>6</v>
      </c>
      <c r="X13" s="49" t="s">
        <v>6</v>
      </c>
      <c r="Y13" s="49" t="s">
        <v>6</v>
      </c>
      <c r="Z13" s="51" t="s">
        <v>4</v>
      </c>
      <c r="AA13" s="51" t="s">
        <v>4</v>
      </c>
      <c r="AB13" s="49" t="s">
        <v>6</v>
      </c>
      <c r="AC13" s="49" t="s">
        <v>6</v>
      </c>
      <c r="AD13" s="49" t="s">
        <v>4</v>
      </c>
      <c r="AE13" s="49" t="s">
        <v>6</v>
      </c>
      <c r="AF13" s="14"/>
    </row>
    <row r="14" spans="1:32" ht="16.149999999999999" customHeight="1">
      <c r="A14" s="25" t="s">
        <v>61</v>
      </c>
      <c r="B14" s="55" t="s">
        <v>23</v>
      </c>
      <c r="C14" s="56" t="s">
        <v>23</v>
      </c>
      <c r="D14" s="56" t="s">
        <v>4</v>
      </c>
      <c r="E14" s="57" t="s">
        <v>4</v>
      </c>
      <c r="F14" s="57" t="s">
        <v>4</v>
      </c>
      <c r="G14" s="55" t="s">
        <v>23</v>
      </c>
      <c r="H14" s="55" t="s">
        <v>23</v>
      </c>
      <c r="I14" s="55" t="s">
        <v>4</v>
      </c>
      <c r="J14" s="55" t="s">
        <v>23</v>
      </c>
      <c r="K14" s="55" t="s">
        <v>23</v>
      </c>
      <c r="L14" s="57" t="s">
        <v>4</v>
      </c>
      <c r="M14" s="57" t="s">
        <v>4</v>
      </c>
      <c r="N14" s="55" t="s">
        <v>23</v>
      </c>
      <c r="O14" s="55" t="s">
        <v>23</v>
      </c>
      <c r="P14" s="55" t="s">
        <v>23</v>
      </c>
      <c r="Q14" s="55" t="s">
        <v>23</v>
      </c>
      <c r="R14" s="55" t="s">
        <v>4</v>
      </c>
      <c r="S14" s="57" t="s">
        <v>23</v>
      </c>
      <c r="T14" s="57" t="s">
        <v>23</v>
      </c>
      <c r="U14" s="55" t="s">
        <v>23</v>
      </c>
      <c r="V14" s="55" t="s">
        <v>23</v>
      </c>
      <c r="W14" s="55" t="s">
        <v>4</v>
      </c>
      <c r="X14" s="55" t="s">
        <v>23</v>
      </c>
      <c r="Y14" s="55" t="s">
        <v>23</v>
      </c>
      <c r="Z14" s="57" t="s">
        <v>4</v>
      </c>
      <c r="AA14" s="57" t="s">
        <v>4</v>
      </c>
      <c r="AB14" s="55" t="s">
        <v>23</v>
      </c>
      <c r="AC14" s="55" t="s">
        <v>23</v>
      </c>
      <c r="AD14" s="55" t="s">
        <v>23</v>
      </c>
      <c r="AE14" s="55" t="s">
        <v>23</v>
      </c>
      <c r="AF14" s="21"/>
    </row>
    <row r="15" spans="1:32" ht="16.149999999999999" customHeight="1">
      <c r="A15" s="25" t="s">
        <v>62</v>
      </c>
      <c r="B15" s="55" t="s">
        <v>23</v>
      </c>
      <c r="C15" s="56" t="s">
        <v>4</v>
      </c>
      <c r="D15" s="56" t="s">
        <v>23</v>
      </c>
      <c r="E15" s="57" t="s">
        <v>4</v>
      </c>
      <c r="F15" s="57" t="s">
        <v>4</v>
      </c>
      <c r="G15" s="55" t="s">
        <v>23</v>
      </c>
      <c r="H15" s="55" t="s">
        <v>23</v>
      </c>
      <c r="I15" s="55" t="s">
        <v>23</v>
      </c>
      <c r="J15" s="55" t="s">
        <v>23</v>
      </c>
      <c r="K15" s="55" t="s">
        <v>4</v>
      </c>
      <c r="L15" s="57" t="s">
        <v>23</v>
      </c>
      <c r="M15" s="57" t="s">
        <v>23</v>
      </c>
      <c r="N15" s="55" t="s">
        <v>23</v>
      </c>
      <c r="O15" s="55" t="s">
        <v>23</v>
      </c>
      <c r="P15" s="55" t="s">
        <v>4</v>
      </c>
      <c r="Q15" s="55" t="s">
        <v>23</v>
      </c>
      <c r="R15" s="55" t="s">
        <v>23</v>
      </c>
      <c r="S15" s="57" t="s">
        <v>4</v>
      </c>
      <c r="T15" s="57" t="s">
        <v>4</v>
      </c>
      <c r="U15" s="55" t="s">
        <v>23</v>
      </c>
      <c r="V15" s="55" t="s">
        <v>4</v>
      </c>
      <c r="W15" s="55" t="s">
        <v>23</v>
      </c>
      <c r="X15" s="55" t="s">
        <v>23</v>
      </c>
      <c r="Y15" s="55" t="s">
        <v>23</v>
      </c>
      <c r="Z15" s="57" t="s">
        <v>4</v>
      </c>
      <c r="AA15" s="57" t="s">
        <v>4</v>
      </c>
      <c r="AB15" s="55" t="s">
        <v>23</v>
      </c>
      <c r="AC15" s="55" t="s">
        <v>23</v>
      </c>
      <c r="AD15" s="55" t="s">
        <v>23</v>
      </c>
      <c r="AE15" s="55" t="s">
        <v>4</v>
      </c>
      <c r="AF15" s="22"/>
    </row>
    <row r="16" spans="1:32" ht="16.149999999999999" customHeight="1">
      <c r="A16" s="25" t="s">
        <v>63</v>
      </c>
      <c r="B16" s="49" t="s">
        <v>23</v>
      </c>
      <c r="C16" s="58" t="s">
        <v>23</v>
      </c>
      <c r="D16" s="34" t="s">
        <v>4</v>
      </c>
      <c r="E16" s="33" t="s">
        <v>23</v>
      </c>
      <c r="F16" s="33" t="s">
        <v>23</v>
      </c>
      <c r="G16" s="49" t="s">
        <v>4</v>
      </c>
      <c r="H16" s="49" t="s">
        <v>4</v>
      </c>
      <c r="I16" s="49" t="s">
        <v>23</v>
      </c>
      <c r="J16" s="49" t="s">
        <v>23</v>
      </c>
      <c r="K16" s="49" t="s">
        <v>23</v>
      </c>
      <c r="L16" s="50" t="s">
        <v>4</v>
      </c>
      <c r="M16" s="51" t="s">
        <v>4</v>
      </c>
      <c r="N16" s="49" t="s">
        <v>4</v>
      </c>
      <c r="O16" s="49" t="s">
        <v>23</v>
      </c>
      <c r="P16" s="49" t="s">
        <v>23</v>
      </c>
      <c r="Q16" s="49" t="s">
        <v>23</v>
      </c>
      <c r="R16" s="49" t="s">
        <v>4</v>
      </c>
      <c r="S16" s="50" t="s">
        <v>23</v>
      </c>
      <c r="T16" s="50" t="s">
        <v>23</v>
      </c>
      <c r="U16" s="49" t="s">
        <v>4</v>
      </c>
      <c r="V16" s="49" t="s">
        <v>23</v>
      </c>
      <c r="W16" s="49" t="s">
        <v>23</v>
      </c>
      <c r="X16" s="49" t="s">
        <v>23</v>
      </c>
      <c r="Y16" s="49" t="s">
        <v>23</v>
      </c>
      <c r="Z16" s="51" t="s">
        <v>4</v>
      </c>
      <c r="AA16" s="51" t="s">
        <v>4</v>
      </c>
      <c r="AB16" s="49" t="s">
        <v>23</v>
      </c>
      <c r="AC16" s="49" t="s">
        <v>23</v>
      </c>
      <c r="AD16" s="49" t="s">
        <v>23</v>
      </c>
      <c r="AE16" s="49" t="s">
        <v>4</v>
      </c>
      <c r="AF16" s="21"/>
    </row>
  </sheetData>
  <mergeCells count="1">
    <mergeCell ref="B2:AE2"/>
  </mergeCells>
  <pageMargins left="0.11811023622047245" right="0" top="0.74803149606299213" bottom="0.35433070866141736" header="0.31496062992125984" footer="0.31496062992125984"/>
  <pageSetup orientation="landscape" r:id="rId1"/>
  <headerFooter>
    <oddFooter>&amp;L_x000D_&amp;1#&amp;"Calibri"&amp;10&amp;K000000 Clasificación: Interna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3cf2e27-f92e-4200-b435-a45cf3d57387" xsi:nil="true"/>
    <lcf76f155ced4ddcb4097134ff3c332f xmlns="65f94926-c037-4d25-8e5e-07d837a0dd0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B20A0F97CDA468E631230A771A64C" ma:contentTypeVersion="18" ma:contentTypeDescription="Crear nuevo documento." ma:contentTypeScope="" ma:versionID="a778e8420222f08390ebd01eb0a6e187">
  <xsd:schema xmlns:xsd="http://www.w3.org/2001/XMLSchema" xmlns:xs="http://www.w3.org/2001/XMLSchema" xmlns:p="http://schemas.microsoft.com/office/2006/metadata/properties" xmlns:ns1="http://schemas.microsoft.com/sharepoint/v3" xmlns:ns2="65f94926-c037-4d25-8e5e-07d837a0dd0a" xmlns:ns3="a3cf2e27-f92e-4200-b435-a45cf3d57387" targetNamespace="http://schemas.microsoft.com/office/2006/metadata/properties" ma:root="true" ma:fieldsID="cf49aebc5ca317df15cb8b656a510ddc" ns1:_="" ns2:_="" ns3:_="">
    <xsd:import namespace="http://schemas.microsoft.com/sharepoint/v3"/>
    <xsd:import namespace="65f94926-c037-4d25-8e5e-07d837a0dd0a"/>
    <xsd:import namespace="a3cf2e27-f92e-4200-b435-a45cf3d57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94926-c037-4d25-8e5e-07d837a0d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87b3b367-fee8-4b53-8ba9-81855ffea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f2e27-f92e-4200-b435-a45cf3d573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8adb053-b15b-4ce5-a83c-f3db3ec94200}" ma:internalName="TaxCatchAll" ma:showField="CatchAllData" ma:web="a3cf2e27-f92e-4200-b435-a45cf3d573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020EB4-6B96-4B98-B53F-E63DB6CB8F6A}"/>
</file>

<file path=customXml/itemProps2.xml><?xml version="1.0" encoding="utf-8"?>
<ds:datastoreItem xmlns:ds="http://schemas.openxmlformats.org/officeDocument/2006/customXml" ds:itemID="{A5519EB5-86AA-409E-99B3-51A6ECBC18AF}"/>
</file>

<file path=customXml/itemProps3.xml><?xml version="1.0" encoding="utf-8"?>
<ds:datastoreItem xmlns:ds="http://schemas.openxmlformats.org/officeDocument/2006/customXml" ds:itemID="{49AA0E93-5767-4053-A346-FD1782A25D06}"/>
</file>

<file path=docMetadata/LabelInfo.xml><?xml version="1.0" encoding="utf-8"?>
<clbl:labelList xmlns:clbl="http://schemas.microsoft.com/office/2020/mipLabelMetadata">
  <clbl:label id="{d958723a-5915-4af3-b4cd-4da9a9655e8a}" enabled="1" method="Standard" siteId="{bab5b22c-d82b-452e-9cad-04f9708f4b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Castro Darriba, Paula</dc:creator>
  <cp:keywords/>
  <dc:description/>
  <cp:lastModifiedBy>Perez Guerra, Lola</cp:lastModifiedBy>
  <cp:revision>1834</cp:revision>
  <dcterms:created xsi:type="dcterms:W3CDTF">2006-09-12T12:46:56Z</dcterms:created>
  <dcterms:modified xsi:type="dcterms:W3CDTF">2026-04-16T06:54:04Z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0x010100353B20A0F97CDA468E631230A771A64C</vt:lpwstr>
  </property>
  <property fmtid="{D5CDD505-2E9C-101B-9397-08002B2CF9AE}" pid="9" name="MediaServiceImageTags">
    <vt:lpwstr/>
  </property>
</Properties>
</file>